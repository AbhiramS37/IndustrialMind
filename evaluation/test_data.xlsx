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Cases" sheetId="1" state="visible" r:id="rId3"/>
    <sheet name="Results" sheetId="2" state="visible" r:id="rId4"/>
    <sheet name="Confusion Matrix" sheetId="3" state="visible" r:id="rId5"/>
    <sheet name="READ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<sst xmlns="http://schemas.openxmlformats.org/spreadsheetml/2006/main" count="768" uniqueCount="263">
  <si>
    <t xml:space="preserve">Case ID</t>
  </si>
  <si>
    <t xml:space="preserve">Scenario</t>
  </si>
  <si>
    <t xml:space="preserve">Actual Label</t>
  </si>
  <si>
    <t xml:space="preserve">Expected Attack Type</t>
  </si>
  <si>
    <t xml:space="preserve">Source IP</t>
  </si>
  <si>
    <t xml:space="preserve">Function Code</t>
  </si>
  <si>
    <t xml:space="preserve">Machine Register</t>
  </si>
  <si>
    <t xml:space="preserve">Requested Value</t>
  </si>
  <si>
    <t xml:space="preserve">Signature Mode</t>
  </si>
  <si>
    <t xml:space="preserve">Repeat Count</t>
  </si>
  <si>
    <t xml:space="preserve">Seconds Since Last Settle</t>
  </si>
  <si>
    <t xml:space="preserve">Current TANK_PRESSURE</t>
  </si>
  <si>
    <t xml:space="preserve">Current CONVEYOR_SPEED</t>
  </si>
  <si>
    <t xml:space="preserve">Current COOLING_VALVE</t>
  </si>
  <si>
    <t xml:space="preserve">Current HEATER_TEMP</t>
  </si>
  <si>
    <t xml:space="preserve">Current FEED_PUMP</t>
  </si>
  <si>
    <t xml:space="preserve">Current RELIEF_VALVE</t>
  </si>
  <si>
    <t xml:space="preserve">Pending Setpoints (JSON)</t>
  </si>
  <si>
    <t xml:space="preserve">Description</t>
  </si>
  <si>
    <t xml:space="preserve">Cyber Verdict</t>
  </si>
  <si>
    <t xml:space="preserve">Cyber Reason</t>
  </si>
  <si>
    <t xml:space="preserve">Physical Verdict</t>
  </si>
  <si>
    <t xml:space="preserve">Physical Reason</t>
  </si>
  <si>
    <t xml:space="preserve">Final Decision</t>
  </si>
  <si>
    <t xml:space="preserve">Orchestrator Reason</t>
  </si>
  <si>
    <t xml:space="preserve">Detected Attack Type</t>
  </si>
  <si>
    <t xml:space="preserve">Predicted Label</t>
  </si>
  <si>
    <t xml:space="preserve">Outcome</t>
  </si>
  <si>
    <t xml:space="preserve">N01</t>
  </si>
  <si>
    <t xml:space="preserve">Operator pressure step</t>
  </si>
  <si>
    <t xml:space="preserve">NORMAL</t>
  </si>
  <si>
    <t xml:space="preserve">-</t>
  </si>
  <si>
    <t xml:space="preserve">127.0.0.1</t>
  </si>
  <si>
    <t xml:space="preserve">TANK_PRESSURE</t>
  </si>
  <si>
    <t xml:space="preserve">valid</t>
  </si>
  <si>
    <t xml:space="preserve">50 -&gt; 51 PSI signed operator step</t>
  </si>
  <si>
    <t xml:space="preserve">PASS</t>
  </si>
  <si>
    <t xml:space="preserve">OK</t>
  </si>
  <si>
    <t xml:space="preserve">N02</t>
  </si>
  <si>
    <t xml:space="preserve">Operator conveyor step</t>
  </si>
  <si>
    <t xml:space="preserve">CONVEYOR_SPEED</t>
  </si>
  <si>
    <t xml:space="preserve">0 -&gt; 2 RPM</t>
  </si>
  <si>
    <t xml:space="preserve">N03</t>
  </si>
  <si>
    <t xml:space="preserve">Operator cooling step</t>
  </si>
  <si>
    <t xml:space="preserve">COOLING_VALVE</t>
  </si>
  <si>
    <t xml:space="preserve">45 -&gt; 46 deg</t>
  </si>
  <si>
    <t xml:space="preserve">N04</t>
  </si>
  <si>
    <t xml:space="preserve">Operator heater step</t>
  </si>
  <si>
    <t xml:space="preserve">HEATER_TEMP</t>
  </si>
  <si>
    <t xml:space="preserve">60 -&gt; 61 C</t>
  </si>
  <si>
    <t xml:space="preserve">N05</t>
  </si>
  <si>
    <t xml:space="preserve">Operator feed pump step</t>
  </si>
  <si>
    <t xml:space="preserve">FEED_PUMP</t>
  </si>
  <si>
    <t xml:space="preserve">40 -&gt; 41 %</t>
  </si>
  <si>
    <t xml:space="preserve">N06</t>
  </si>
  <si>
    <t xml:space="preserve">Operator relief valve step</t>
  </si>
  <si>
    <t xml:space="preserve">RELIEF_VALVE</t>
  </si>
  <si>
    <t xml:space="preserve">N07</t>
  </si>
  <si>
    <t xml:space="preserve">Heater high with cooling open</t>
  </si>
  <si>
    <t xml:space="preserve">Legitimate multi-register combination: hot reactor but adequate cooling</t>
  </si>
  <si>
    <t xml:space="preserve">N08</t>
  </si>
  <si>
    <t xml:space="preserve">Pump high with relief open</t>
  </si>
  <si>
    <t xml:space="preserve">Legitimate multi-register combination: high feed with relief path open</t>
  </si>
  <si>
    <t xml:space="preserve">N09</t>
  </si>
  <si>
    <t xml:space="preserve">Relief nearly closed at low feed</t>
  </si>
  <si>
    <t xml:space="preserve">Relief low is safe because feed pump is low</t>
  </si>
  <si>
    <t xml:space="preserve">N10</t>
  </si>
  <si>
    <t xml:space="preserve">Cooling low at moderate heat</t>
  </si>
  <si>
    <t xml:space="preserve">Cooling low is safe because heater setpoint is moderate</t>
  </si>
  <si>
    <t xml:space="preserve">N11</t>
  </si>
  <si>
    <t xml:space="preserve">Pressure up with warm heater</t>
  </si>
  <si>
    <t xml:space="preserve">Below HOT_PRESSURIZED_VESSEL heater threshold (125 C)</t>
  </si>
  <si>
    <t xml:space="preserve">N12</t>
  </si>
  <si>
    <t xml:space="preserve">Corrective move out of unsafe state</t>
  </si>
  <si>
    <t xml:space="preserve">Plant already in OVERPRESSURE combination; operator reduces pump</t>
  </si>
  <si>
    <t xml:space="preserve">N13</t>
  </si>
  <si>
    <t xml:space="preserve">Large move after long idle</t>
  </si>
  <si>
    <t xml:space="preserve">0 -&gt; 80 RPM, plant had 10 s to reach it (rate 10 RPM/s)</t>
  </si>
  <si>
    <t xml:space="preserve">N14</t>
  </si>
  <si>
    <t xml:space="preserve">Second trusted SCADA host</t>
  </si>
  <si>
    <t xml:space="preserve">192.168.1.10</t>
  </si>
  <si>
    <t xml:space="preserve">Signed command from the other whitelisted SCADA address</t>
  </si>
  <si>
    <t xml:space="preserve">N15</t>
  </si>
  <si>
    <t xml:space="preserve">Pressure and heat both high but below limits</t>
  </si>
  <si>
    <t xml:space="preserve">N16</t>
  </si>
  <si>
    <t xml:space="preserve">Fast conveyor, moderate pressure</t>
  </si>
  <si>
    <t xml:space="preserve">N17</t>
  </si>
  <si>
    <t xml:space="preserve">Cooling reduced at normal pressure</t>
  </si>
  <si>
    <t xml:space="preserve">N18</t>
  </si>
  <si>
    <t xml:space="preserve">Emergency fast cooling open</t>
  </si>
  <si>
    <t xml:space="preserve">Legitimate emergency action faster than the valve ramp (edge case)</t>
  </si>
  <si>
    <t xml:space="preserve">FAIL</t>
  </si>
  <si>
    <t xml:space="preserve">RATE_OF_CHANGE_EXCEEDED:COOLING_VALVE Δ35.00 &gt; max 5.50 in 1.000s</t>
  </si>
  <si>
    <t xml:space="preserve">DROP</t>
  </si>
  <si>
    <t xml:space="preserve">Rate-of-Change Violation</t>
  </si>
  <si>
    <t xml:space="preserve">ATTACK</t>
  </si>
  <si>
    <t xml:space="preserve">N19</t>
  </si>
  <si>
    <t xml:space="preserve">Short operator burst</t>
  </si>
  <si>
    <t xml:space="preserve">3 quick legitimate adjustments (below 5 req/s)</t>
  </si>
  <si>
    <t xml:space="preserve">N20</t>
  </si>
  <si>
    <t xml:space="preserve">Operator relief step</t>
  </si>
  <si>
    <t xml:space="preserve">A01</t>
  </si>
  <si>
    <t xml:space="preserve">Unsigned command</t>
  </si>
  <si>
    <t xml:space="preserve">Missing HMAC (Unsigned Command)</t>
  </si>
  <si>
    <t xml:space="preserve">missing</t>
  </si>
  <si>
    <t xml:space="preserve">Plain FC6 write with no HMAC</t>
  </si>
  <si>
    <t xml:space="preserve">HMAC_MISSING:command carried no HMAC signature</t>
  </si>
  <si>
    <t xml:space="preserve">A02</t>
  </si>
  <si>
    <t xml:space="preserve">Value tampered in transit</t>
  </si>
  <si>
    <t xml:space="preserve">Tampered / Forged HMAC</t>
  </si>
  <si>
    <t xml:space="preserve">tampered</t>
  </si>
  <si>
    <t xml:space="preserve">Signed 61 C, value changed to 140 C, original tag kept</t>
  </si>
  <si>
    <t xml:space="preserve">HMAC_INVALID:HMAC tag does not match command (tampered or wrong key)</t>
  </si>
  <si>
    <t xml:space="preserve">RATE_OF_CHANGE_EXCEEDED:HEATER_TEMP Δ80.00 &gt; max 66.00 in 12.000s</t>
  </si>
  <si>
    <t xml:space="preserve">A03</t>
  </si>
  <si>
    <t xml:space="preserve">Forged signature</t>
  </si>
  <si>
    <t xml:space="preserve">wrong_key</t>
  </si>
  <si>
    <t xml:space="preserve">Signed with an attacker-chosen key</t>
  </si>
  <si>
    <t xml:space="preserve">A04</t>
  </si>
  <si>
    <t xml:space="preserve">Delayed replay (expired)</t>
  </si>
  <si>
    <t xml:space="preserve">Expired Signature (Delayed Replay)</t>
  </si>
  <si>
    <t xml:space="preserve">expired</t>
  </si>
  <si>
    <t xml:space="preserve">Correct signature, timestamp 5 minutes old</t>
  </si>
  <si>
    <t xml:space="preserve">HMAC_EXPIRED:signed timestamp outside +/-30s freshness window</t>
  </si>
  <si>
    <t xml:space="preserve">A05</t>
  </si>
  <si>
    <t xml:space="preserve">Immediate replay</t>
  </si>
  <si>
    <t xml:space="preserve">Replay</t>
  </si>
  <si>
    <t xml:space="preserve">replayed</t>
  </si>
  <si>
    <t xml:space="preserve">Byte-identical signed frame sent twice; second is evaluated</t>
  </si>
  <si>
    <t xml:space="preserve">REPLAY_DETECTED:nonce reused</t>
  </si>
  <si>
    <t xml:space="preserve">A06</t>
  </si>
  <si>
    <t xml:space="preserve">Malformed signed frame</t>
  </si>
  <si>
    <t xml:space="preserve">Malformed Signed Frame</t>
  </si>
  <si>
    <t xml:space="preserve">malformed</t>
  </si>
  <si>
    <t xml:space="preserve">Truncated HMAC tag</t>
  </si>
  <si>
    <t xml:space="preserve">HMAC_MALFORMED:HMAC tag has wrong length</t>
  </si>
  <si>
    <t xml:space="preserve">A07</t>
  </si>
  <si>
    <t xml:space="preserve">Rogue host with stolen key</t>
  </si>
  <si>
    <t xml:space="preserve">Untrusted Source</t>
  </si>
  <si>
    <t xml:space="preserve">10.0.0.99</t>
  </si>
  <si>
    <t xml:space="preserve">Valid signature but connection from a non-SCADA address</t>
  </si>
  <si>
    <t xml:space="preserve">UNTRUSTED_SOURCE</t>
  </si>
  <si>
    <t xml:space="preserve">A08</t>
  </si>
  <si>
    <t xml:space="preserve">Probe of unmapped register</t>
  </si>
  <si>
    <t xml:space="preserve">Invalid Register Access</t>
  </si>
  <si>
    <t xml:space="preserve">7</t>
  </si>
  <si>
    <t xml:space="preserve">Write to address 7 (no such machine)</t>
  </si>
  <si>
    <t xml:space="preserve">INVALID_REGISTER</t>
  </si>
  <si>
    <t xml:space="preserve">UNKNOWN_REGISTER:7</t>
  </si>
  <si>
    <t xml:space="preserve">A09</t>
  </si>
  <si>
    <t xml:space="preserve">Invalid function code</t>
  </si>
  <si>
    <t xml:space="preserve">Invalid Function Code</t>
  </si>
  <si>
    <t xml:space="preserve">FC5 (write coil) against a holding register</t>
  </si>
  <si>
    <t xml:space="preserve">INVALID_FUNCTION_CODE</t>
  </si>
  <si>
    <t xml:space="preserve">A10</t>
  </si>
  <si>
    <t xml:space="preserve">Command flood</t>
  </si>
  <si>
    <t xml:space="preserve">Flood / Rate Limit</t>
  </si>
  <si>
    <t xml:space="preserve">8 signed commands in &lt; 1 s; last one evaluated</t>
  </si>
  <si>
    <t xml:space="preserve">RATE_LIMIT_EXCEEDED</t>
  </si>
  <si>
    <t xml:space="preserve">A11</t>
  </si>
  <si>
    <t xml:space="preserve">Impossible tank pressure</t>
  </si>
  <si>
    <t xml:space="preserve">Impossible Command (Out of Bounds)</t>
  </si>
  <si>
    <t xml:space="preserve">OUT_OF_BOUNDS:TANK_PRESSURE=999.00 (allowed 0–100)</t>
  </si>
  <si>
    <t xml:space="preserve">A12</t>
  </si>
  <si>
    <t xml:space="preserve">Impossible heater temperature</t>
  </si>
  <si>
    <t xml:space="preserve">OUT_OF_BOUNDS:HEATER_TEMP=180.00 (allowed 0–150)</t>
  </si>
  <si>
    <t xml:space="preserve">A13</t>
  </si>
  <si>
    <t xml:space="preserve">Physically impossible ramp</t>
  </si>
  <si>
    <t xml:space="preserve">0 -&gt; 100 RPM in 0.2 s</t>
  </si>
  <si>
    <t xml:space="preserve">RATE_OF_CHANGE_EXCEEDED:CONVEYOR_SPEED Δ100.00 &gt; max 2.20 in 0.200s</t>
  </si>
  <si>
    <t xml:space="preserve">A14</t>
  </si>
  <si>
    <t xml:space="preserve">Thermal runaway via heater</t>
  </si>
  <si>
    <t xml:space="preserve">Cross-Register Correlation</t>
  </si>
  <si>
    <t xml:space="preserve">Each value safe alone; heater 112 + cooling 20 is unsafe</t>
  </si>
  <si>
    <t xml:space="preserve">CROSS_REGISTER_VIOLATION:THERMAL_RUNAWAY:HEATER_TEMP=112.0&gt;=110 &amp; COOLING_VALVE=20.0&lt;=25 (heater setpoint high while cooling valve nearly closed - heat cannot be removed)</t>
  </si>
  <si>
    <t xml:space="preserve">A15</t>
  </si>
  <si>
    <t xml:space="preserve">Thermal runaway via cooling valve</t>
  </si>
  <si>
    <t xml:space="preserve">CROSS_REGISTER_VIOLATION:THERMAL_RUNAWAY:HEATER_TEMP=115.0&gt;=110 &amp; COOLING_VALVE=24.0&lt;=25 (heater setpoint high while cooling valve nearly closed - heat cannot be removed)</t>
  </si>
  <si>
    <t xml:space="preserve">A16</t>
  </si>
  <si>
    <t xml:space="preserve">Overpressure via feed pump</t>
  </si>
  <si>
    <t xml:space="preserve">CROSS_REGISTER_VIOLATION:OVERPRESSURE:FEED_PUMP=75.0&gt;=70 &amp; RELIEF_VALVE=10.0&lt;=15 (feed pump driving flow into tank while relief valve nearly closed - tank cannot vent)</t>
  </si>
  <si>
    <t xml:space="preserve">A17</t>
  </si>
  <si>
    <t xml:space="preserve">Overpressure via pending setpoint</t>
  </si>
  <si>
    <t xml:space="preserve">{"RELIEF_VALVE": 10.0}</t>
  </si>
  <si>
    <t xml:space="preserve">Relief telemetry still 40 but an approved setpoint of 10 is ramping</t>
  </si>
  <si>
    <t xml:space="preserve">A18</t>
  </si>
  <si>
    <t xml:space="preserve">Hot pressurized vessel</t>
  </si>
  <si>
    <t xml:space="preserve">CROSS_REGISTER_VIOLATION:HOT_PRESSURIZED_VESSEL:TANK_PRESSURE=86.0&gt;=85 &amp; HEATER_TEMP=130.0&gt;=125 (tank pressure and heater temperature both near limits at the same time)</t>
  </si>
  <si>
    <t xml:space="preserve">A19</t>
  </si>
  <si>
    <t xml:space="preserve">Valve slam at low pressure</t>
  </si>
  <si>
    <t xml:space="preserve">CROSS_REGISTER_VIOLATION:VALVE_CLOSING_LOW_PRESSURE:valve closing sharply with tank pressure already low</t>
  </si>
  <si>
    <t xml:space="preserve">A20</t>
  </si>
  <si>
    <t xml:space="preserve">Conveyor max at pressure limit</t>
  </si>
  <si>
    <t xml:space="preserve">CROSS_REGISTER_VIOLATION:CONVEYOR_PRESSURE_OVERLOAD:conveyor near max speed while tank pressure near limit</t>
  </si>
  <si>
    <t xml:space="preserve">A21</t>
  </si>
  <si>
    <t xml:space="preserve">Insider setpoint drift</t>
  </si>
  <si>
    <t xml:space="preserve">Stealthy In-Bounds Manipulation</t>
  </si>
  <si>
    <t xml:space="preserve">Compromised HMI nudges conveyor within all limits (edge case)</t>
  </si>
  <si>
    <t xml:space="preserve">A22</t>
  </si>
  <si>
    <t xml:space="preserve">First step of low-and-slow correlation attack</t>
  </si>
  <si>
    <t xml:space="preserve">Individually safe preparatory step of the A14 attack (edge case)</t>
  </si>
  <si>
    <t xml:space="preserve">Industrial Mind - System Efficiency Results</t>
  </si>
  <si>
    <t xml:space="preserve">Evaluated 2026-09-23T17:04:37 over TestCases rows 2-43. Positive class = ATTACK. Formulas recalculate from TestCases.</t>
  </si>
  <si>
    <t xml:space="preserve">Metric</t>
  </si>
  <si>
    <t xml:space="preserve">Value (Excel formula)</t>
  </si>
  <si>
    <t xml:space="preserve">Value (evaluate_system.py)</t>
  </si>
  <si>
    <t xml:space="preserve">Check</t>
  </si>
  <si>
    <t xml:space="preserve">Definition</t>
  </si>
  <si>
    <t xml:space="preserve">Total Cases</t>
  </si>
  <si>
    <t xml:space="preserve">labelled cases</t>
  </si>
  <si>
    <t xml:space="preserve">Actual Attacks</t>
  </si>
  <si>
    <t xml:space="preserve">Actual Label = ATTACK</t>
  </si>
  <si>
    <t xml:space="preserve">Actual Normal</t>
  </si>
  <si>
    <t xml:space="preserve">Actual Label = NORMAL</t>
  </si>
  <si>
    <t xml:space="preserve">TP</t>
  </si>
  <si>
    <t xml:space="preserve">attack correctly dropped</t>
  </si>
  <si>
    <t xml:space="preserve">TN</t>
  </si>
  <si>
    <t xml:space="preserve">normal command correctly passed</t>
  </si>
  <si>
    <t xml:space="preserve">FP</t>
  </si>
  <si>
    <t xml:space="preserve">normal command wrongly dropped</t>
  </si>
  <si>
    <t xml:space="preserve">FN</t>
  </si>
  <si>
    <t xml:space="preserve">attack wrongly passed</t>
  </si>
  <si>
    <t xml:space="preserve">Accuracy</t>
  </si>
  <si>
    <t xml:space="preserve">(TP+TN)/(TP+TN+FP+FN)</t>
  </si>
  <si>
    <t xml:space="preserve">Precision</t>
  </si>
  <si>
    <t xml:space="preserve">TP/(TP+FP)</t>
  </si>
  <si>
    <t xml:space="preserve">Recall</t>
  </si>
  <si>
    <t xml:space="preserve">TP/(TP+FN)</t>
  </si>
  <si>
    <t xml:space="preserve">F1-score</t>
  </si>
  <si>
    <t xml:space="preserve">2*Precision*Recall/(Precision+Recall)</t>
  </si>
  <si>
    <t xml:space="preserve">Detection Rate</t>
  </si>
  <si>
    <t xml:space="preserve">attacks detected / all attacks (= Recall)</t>
  </si>
  <si>
    <t xml:space="preserve">False Positive Rate</t>
  </si>
  <si>
    <t xml:space="preserve">FP/(FP+TN)</t>
  </si>
  <si>
    <t xml:space="preserve">Specificity</t>
  </si>
  <si>
    <t xml:space="preserve">TN/(TN+FP)</t>
  </si>
  <si>
    <t xml:space="preserve">Detection by attack type</t>
  </si>
  <si>
    <t xml:space="preserve">Attack Cases</t>
  </si>
  <si>
    <t xml:space="preserve">Detected (DROP)</t>
  </si>
  <si>
    <t xml:space="preserve">Confusion Matrix (positive class = ATTACK)</t>
  </si>
  <si>
    <t xml:space="preserve">Actual \ Predicted</t>
  </si>
  <si>
    <t xml:space="preserve">Predicted ATTACK</t>
  </si>
  <si>
    <t xml:space="preserve">Predicted NORMAL</t>
  </si>
  <si>
    <t xml:space="preserve">Total</t>
  </si>
  <si>
    <t xml:space="preserve">Actual ATTACK</t>
  </si>
  <si>
    <t xml:space="preserve">Actual NORMAL</t>
  </si>
  <si>
    <t xml:space="preserve">TP = Actual ATTACK &amp; Predicted ATTACK · FN = Actual ATTACK &amp; Predicted NORMAL · FP = Actual NORMAL &amp; Predicted ATTACK · TN = Actual NORMAL &amp; Predicted NORMAL</t>
  </si>
  <si>
    <t xml:space="preserve">Industrial Mind - System Efficiency Test Data</t>
  </si>
  <si>
    <t xml:space="preserve">Blue columns (TestCases A..S) are INPUTS you may edit or extend with new rows.</t>
  </si>
  <si>
    <t xml:space="preserve">Green columns are OUTPUTS written by evaluation/evaluate_system.py - do not edit by hand.</t>
  </si>
  <si>
    <t xml:space="preserve">Actual Label is the ground truth: NORMAL or ATTACK. Positive class = ATTACK.</t>
  </si>
  <si>
    <t xml:space="preserve">Predicted Label = ATTACK when the real Orchestrator decision is DROP, NORMAL when PASS.</t>
  </si>
  <si>
    <t xml:space="preserve">Column meanings</t>
  </si>
  <si>
    <t xml:space="preserve">Machine Register: machine name from docs/interfaces.MACHINES (e.g. HEATER_TEMP) or a raw address number.</t>
  </si>
  <si>
    <t xml:space="preserve">Signature Mode: valid | missing | tampered | wrong_key | expired | replayed | malformed.</t>
  </si>
  <si>
    <t xml:space="preserve">Repeat Count: number of back-to-back sends from the same source; the LAST one is evaluated (flood tests).</t>
  </si>
  <si>
    <t xml:space="preserve">Seconds Since Last Settle: time the register has had to move since it last settled (rate-of-change check).</t>
  </si>
  <si>
    <t xml:space="preserve">Current &lt;MACHINE&gt;: live PLC telemetry for each machine when the command arrives.</t>
  </si>
  <si>
    <t xml:space="preserve">Pending Setpoints (JSON): approved targets still ramping, e.g. {"RELIEF_VALVE": 10}.</t>
  </si>
  <si>
    <t xml:space="preserve">Example row</t>
  </si>
  <si>
    <t xml:space="preserve">A14 | heater 102 -&gt; 112 C, cooling valve 20 deg, dt 10 s, valid signature | Actual ATTACK</t>
  </si>
  <si>
    <t xml:space="preserve">Rerun:  python evaluation/evaluate_system.py</t>
  </si>
  <si>
    <t xml:space="preserve">Results and Confusion Matrix sheets are rebuilt with Excel formulas over TestCases on every run.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</si>
</sst>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%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385723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85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12</xdr:col>
      <xdr:colOff>348120</xdr:colOff>
      <xdr:row>19</xdr:row>
      <xdr:rowOff>141120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827320" y="380880"/>
          <a:ext cx="4628880" cy="3943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4" min="4" style="0" width="32"/>
    <col collapsed="false" customWidth="true" hidden="false" outlineLevel="0" max="17" min="5" style="0" width="15"/>
    <col collapsed="false" customWidth="true" hidden="false" outlineLevel="0" max="18" min="18" style="0" width="24"/>
    <col collapsed="false" customWidth="true" hidden="false" outlineLevel="0" max="19" min="19" style="0" width="55"/>
    <col collapsed="false" customWidth="true" hidden="false" outlineLevel="0" max="20" min="20" style="0" width="15"/>
    <col collapsed="false" customWidth="true" hidden="false" outlineLevel="0" max="21" min="21" style="0" width="45"/>
    <col collapsed="false" customWidth="true" hidden="false" outlineLevel="0" max="22" min="22" style="0" width="15"/>
    <col collapsed="false" customWidth="true" hidden="false" outlineLevel="0" max="23" min="23" style="0" width="55"/>
    <col collapsed="false" customWidth="true" hidden="false" outlineLevel="0" max="24" min="24" style="0" width="15"/>
    <col collapsed="false" customWidth="true" hidden="false" outlineLevel="0" max="25" min="25" style="0" width="55"/>
    <col collapsed="false" customWidth="true" hidden="false" outlineLevel="0" max="26" min="26" style="0" width="32"/>
    <col collapsed="false" customWidth="true" hidden="false" outlineLevel="0" max="28" min="27" style="0" width="15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customFormat="false" ht="15" hidden="false" customHeight="false" outlineLevel="0" collapsed="false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n">
        <v>16</v>
      </c>
      <c r="G2" s="3" t="s">
        <v>33</v>
      </c>
      <c r="H2" s="3" t="n">
        <v>51</v>
      </c>
      <c r="I2" s="3" t="s">
        <v>34</v>
      </c>
      <c r="J2" s="3" t="n">
        <v>1</v>
      </c>
      <c r="K2" s="3" t="n">
        <v>12</v>
      </c>
      <c r="L2" s="3" t="n">
        <v>50</v>
      </c>
      <c r="M2" s="3" t="n">
        <v>0</v>
      </c>
      <c r="N2" s="3" t="n">
        <v>45</v>
      </c>
      <c r="O2" s="3" t="n">
        <v>60</v>
      </c>
      <c r="P2" s="3" t="n">
        <v>40</v>
      </c>
      <c r="Q2" s="3" t="n">
        <v>45</v>
      </c>
      <c r="R2" s="3"/>
      <c r="S2" s="3" t="s">
        <v>35</v>
      </c>
      <c r="T2" s="4" t="s">
        <v>36</v>
      </c>
      <c r="U2" s="4" t="s">
        <v>37</v>
      </c>
      <c r="V2" s="4" t="s">
        <v>36</v>
      </c>
      <c r="W2" s="4" t="s">
        <v>37</v>
      </c>
      <c r="X2" s="4" t="s">
        <v>36</v>
      </c>
      <c r="Y2" s="4" t="s">
        <v>37</v>
      </c>
      <c r="Z2" s="4" t="s">
        <v>31</v>
      </c>
      <c r="AA2" s="4" t="s">
        <v>30</v>
      </c>
      <c r="AB2" s="4" t="str">
        <f aca="false">IF(OR(AA2="",C2=""),"",IF(C2="ATTACK",IF(AA2="ATTACK","TP","FN"),IF(AA2="ATTACK","FP","TN")))</f>
        <v>TN</v>
      </c>
    </row>
    <row r="3" customFormat="false" ht="15" hidden="false" customHeight="false" outlineLevel="0" collapsed="false">
      <c r="A3" s="3" t="s">
        <v>38</v>
      </c>
      <c r="B3" s="3" t="s">
        <v>39</v>
      </c>
      <c r="C3" s="3" t="s">
        <v>30</v>
      </c>
      <c r="D3" s="3" t="s">
        <v>31</v>
      </c>
      <c r="E3" s="3" t="s">
        <v>32</v>
      </c>
      <c r="F3" s="3" t="n">
        <v>16</v>
      </c>
      <c r="G3" s="3" t="s">
        <v>40</v>
      </c>
      <c r="H3" s="3" t="n">
        <v>2</v>
      </c>
      <c r="I3" s="3" t="s">
        <v>34</v>
      </c>
      <c r="J3" s="3" t="n">
        <v>1</v>
      </c>
      <c r="K3" s="3" t="n">
        <v>12</v>
      </c>
      <c r="L3" s="3" t="n">
        <v>50</v>
      </c>
      <c r="M3" s="3" t="n">
        <v>0</v>
      </c>
      <c r="N3" s="3" t="n">
        <v>45</v>
      </c>
      <c r="O3" s="3" t="n">
        <v>60</v>
      </c>
      <c r="P3" s="3" t="n">
        <v>40</v>
      </c>
      <c r="Q3" s="3" t="n">
        <v>45</v>
      </c>
      <c r="R3" s="3"/>
      <c r="S3" s="3" t="s">
        <v>41</v>
      </c>
      <c r="T3" s="4" t="s">
        <v>36</v>
      </c>
      <c r="U3" s="4" t="s">
        <v>37</v>
      </c>
      <c r="V3" s="4" t="s">
        <v>36</v>
      </c>
      <c r="W3" s="4" t="s">
        <v>37</v>
      </c>
      <c r="X3" s="4" t="s">
        <v>36</v>
      </c>
      <c r="Y3" s="4" t="s">
        <v>37</v>
      </c>
      <c r="Z3" s="4" t="s">
        <v>31</v>
      </c>
      <c r="AA3" s="4" t="s">
        <v>30</v>
      </c>
      <c r="AB3" s="4" t="str">
        <f aca="false">IF(OR(AA3="",C3=""),"",IF(C3="ATTACK",IF(AA3="ATTACK","TP","FN"),IF(AA3="ATTACK","FP","TN")))</f>
        <v>TN</v>
      </c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30</v>
      </c>
      <c r="D4" s="3" t="s">
        <v>31</v>
      </c>
      <c r="E4" s="3" t="s">
        <v>32</v>
      </c>
      <c r="F4" s="3" t="n">
        <v>16</v>
      </c>
      <c r="G4" s="3" t="s">
        <v>44</v>
      </c>
      <c r="H4" s="3" t="n">
        <v>46</v>
      </c>
      <c r="I4" s="3" t="s">
        <v>34</v>
      </c>
      <c r="J4" s="3" t="n">
        <v>1</v>
      </c>
      <c r="K4" s="3" t="n">
        <v>12</v>
      </c>
      <c r="L4" s="3" t="n">
        <v>50</v>
      </c>
      <c r="M4" s="3" t="n">
        <v>0</v>
      </c>
      <c r="N4" s="3" t="n">
        <v>45</v>
      </c>
      <c r="O4" s="3" t="n">
        <v>60</v>
      </c>
      <c r="P4" s="3" t="n">
        <v>40</v>
      </c>
      <c r="Q4" s="3" t="n">
        <v>45</v>
      </c>
      <c r="R4" s="3"/>
      <c r="S4" s="3" t="s">
        <v>45</v>
      </c>
      <c r="T4" s="4" t="s">
        <v>36</v>
      </c>
      <c r="U4" s="4" t="s">
        <v>37</v>
      </c>
      <c r="V4" s="4" t="s">
        <v>36</v>
      </c>
      <c r="W4" s="4" t="s">
        <v>37</v>
      </c>
      <c r="X4" s="4" t="s">
        <v>36</v>
      </c>
      <c r="Y4" s="4" t="s">
        <v>37</v>
      </c>
      <c r="Z4" s="4" t="s">
        <v>31</v>
      </c>
      <c r="AA4" s="4" t="s">
        <v>30</v>
      </c>
      <c r="AB4" s="4" t="str">
        <f aca="false">IF(OR(AA4="",C4=""),"",IF(C4="ATTACK",IF(AA4="ATTACK","TP","FN"),IF(AA4="ATTACK","FP","TN")))</f>
        <v>TN</v>
      </c>
    </row>
    <row r="5" customFormat="false" ht="15" hidden="false" customHeight="false" outlineLevel="0" collapsed="false">
      <c r="A5" s="3" t="s">
        <v>46</v>
      </c>
      <c r="B5" s="3" t="s">
        <v>47</v>
      </c>
      <c r="C5" s="3" t="s">
        <v>30</v>
      </c>
      <c r="D5" s="3" t="s">
        <v>31</v>
      </c>
      <c r="E5" s="3" t="s">
        <v>32</v>
      </c>
      <c r="F5" s="3" t="n">
        <v>16</v>
      </c>
      <c r="G5" s="3" t="s">
        <v>48</v>
      </c>
      <c r="H5" s="3" t="n">
        <v>61</v>
      </c>
      <c r="I5" s="3" t="s">
        <v>34</v>
      </c>
      <c r="J5" s="3" t="n">
        <v>1</v>
      </c>
      <c r="K5" s="3" t="n">
        <v>12</v>
      </c>
      <c r="L5" s="3" t="n">
        <v>50</v>
      </c>
      <c r="M5" s="3" t="n">
        <v>0</v>
      </c>
      <c r="N5" s="3" t="n">
        <v>45</v>
      </c>
      <c r="O5" s="3" t="n">
        <v>60</v>
      </c>
      <c r="P5" s="3" t="n">
        <v>40</v>
      </c>
      <c r="Q5" s="3" t="n">
        <v>45</v>
      </c>
      <c r="R5" s="3"/>
      <c r="S5" s="3" t="s">
        <v>49</v>
      </c>
      <c r="T5" s="4" t="s">
        <v>36</v>
      </c>
      <c r="U5" s="4" t="s">
        <v>37</v>
      </c>
      <c r="V5" s="4" t="s">
        <v>36</v>
      </c>
      <c r="W5" s="4" t="s">
        <v>37</v>
      </c>
      <c r="X5" s="4" t="s">
        <v>36</v>
      </c>
      <c r="Y5" s="4" t="s">
        <v>37</v>
      </c>
      <c r="Z5" s="4" t="s">
        <v>31</v>
      </c>
      <c r="AA5" s="4" t="s">
        <v>30</v>
      </c>
      <c r="AB5" s="4" t="str">
        <f aca="false">IF(OR(AA5="",C5=""),"",IF(C5="ATTACK",IF(AA5="ATTACK","TP","FN"),IF(AA5="ATTACK","FP","TN")))</f>
        <v>TN</v>
      </c>
    </row>
    <row r="6" customFormat="false" ht="15" hidden="false" customHeight="false" outlineLevel="0" collapsed="false">
      <c r="A6" s="3" t="s">
        <v>50</v>
      </c>
      <c r="B6" s="3" t="s">
        <v>51</v>
      </c>
      <c r="C6" s="3" t="s">
        <v>30</v>
      </c>
      <c r="D6" s="3" t="s">
        <v>31</v>
      </c>
      <c r="E6" s="3" t="s">
        <v>32</v>
      </c>
      <c r="F6" s="3" t="n">
        <v>16</v>
      </c>
      <c r="G6" s="3" t="s">
        <v>52</v>
      </c>
      <c r="H6" s="3" t="n">
        <v>41</v>
      </c>
      <c r="I6" s="3" t="s">
        <v>34</v>
      </c>
      <c r="J6" s="3" t="n">
        <v>1</v>
      </c>
      <c r="K6" s="3" t="n">
        <v>12</v>
      </c>
      <c r="L6" s="3" t="n">
        <v>50</v>
      </c>
      <c r="M6" s="3" t="n">
        <v>0</v>
      </c>
      <c r="N6" s="3" t="n">
        <v>45</v>
      </c>
      <c r="O6" s="3" t="n">
        <v>60</v>
      </c>
      <c r="P6" s="3" t="n">
        <v>40</v>
      </c>
      <c r="Q6" s="3" t="n">
        <v>45</v>
      </c>
      <c r="R6" s="3"/>
      <c r="S6" s="3" t="s">
        <v>53</v>
      </c>
      <c r="T6" s="4" t="s">
        <v>36</v>
      </c>
      <c r="U6" s="4" t="s">
        <v>37</v>
      </c>
      <c r="V6" s="4" t="s">
        <v>36</v>
      </c>
      <c r="W6" s="4" t="s">
        <v>37</v>
      </c>
      <c r="X6" s="4" t="s">
        <v>36</v>
      </c>
      <c r="Y6" s="4" t="s">
        <v>37</v>
      </c>
      <c r="Z6" s="4" t="s">
        <v>31</v>
      </c>
      <c r="AA6" s="4" t="s">
        <v>30</v>
      </c>
      <c r="AB6" s="4" t="str">
        <f aca="false">IF(OR(AA6="",C6=""),"",IF(C6="ATTACK",IF(AA6="ATTACK","TP","FN"),IF(AA6="ATTACK","FP","TN")))</f>
        <v>TN</v>
      </c>
    </row>
    <row r="7" customFormat="false" ht="15" hidden="false" customHeight="false" outlineLevel="0" collapsed="false">
      <c r="A7" s="3" t="s">
        <v>54</v>
      </c>
      <c r="B7" s="3" t="s">
        <v>55</v>
      </c>
      <c r="C7" s="3" t="s">
        <v>30</v>
      </c>
      <c r="D7" s="3" t="s">
        <v>31</v>
      </c>
      <c r="E7" s="3" t="s">
        <v>32</v>
      </c>
      <c r="F7" s="3" t="n">
        <v>16</v>
      </c>
      <c r="G7" s="3" t="s">
        <v>56</v>
      </c>
      <c r="H7" s="3" t="n">
        <v>46</v>
      </c>
      <c r="I7" s="3" t="s">
        <v>34</v>
      </c>
      <c r="J7" s="3" t="n">
        <v>1</v>
      </c>
      <c r="K7" s="3" t="n">
        <v>12</v>
      </c>
      <c r="L7" s="3" t="n">
        <v>50</v>
      </c>
      <c r="M7" s="3" t="n">
        <v>0</v>
      </c>
      <c r="N7" s="3" t="n">
        <v>45</v>
      </c>
      <c r="O7" s="3" t="n">
        <v>60</v>
      </c>
      <c r="P7" s="3" t="n">
        <v>40</v>
      </c>
      <c r="Q7" s="3" t="n">
        <v>45</v>
      </c>
      <c r="R7" s="3"/>
      <c r="S7" s="3" t="s">
        <v>45</v>
      </c>
      <c r="T7" s="4" t="s">
        <v>36</v>
      </c>
      <c r="U7" s="4" t="s">
        <v>37</v>
      </c>
      <c r="V7" s="4" t="s">
        <v>36</v>
      </c>
      <c r="W7" s="4" t="s">
        <v>37</v>
      </c>
      <c r="X7" s="4" t="s">
        <v>36</v>
      </c>
      <c r="Y7" s="4" t="s">
        <v>37</v>
      </c>
      <c r="Z7" s="4" t="s">
        <v>31</v>
      </c>
      <c r="AA7" s="4" t="s">
        <v>30</v>
      </c>
      <c r="AB7" s="4" t="str">
        <f aca="false">IF(OR(AA7="",C7=""),"",IF(C7="ATTACK",IF(AA7="ATTACK","TP","FN"),IF(AA7="ATTACK","FP","TN")))</f>
        <v>TN</v>
      </c>
    </row>
    <row r="8" customFormat="false" ht="15" hidden="false" customHeight="false" outlineLevel="0" collapsed="false">
      <c r="A8" s="3" t="s">
        <v>57</v>
      </c>
      <c r="B8" s="3" t="s">
        <v>58</v>
      </c>
      <c r="C8" s="3" t="s">
        <v>30</v>
      </c>
      <c r="D8" s="3" t="s">
        <v>31</v>
      </c>
      <c r="E8" s="3" t="s">
        <v>32</v>
      </c>
      <c r="F8" s="3" t="n">
        <v>16</v>
      </c>
      <c r="G8" s="3" t="s">
        <v>48</v>
      </c>
      <c r="H8" s="3" t="n">
        <v>112</v>
      </c>
      <c r="I8" s="3" t="s">
        <v>34</v>
      </c>
      <c r="J8" s="3" t="n">
        <v>1</v>
      </c>
      <c r="K8" s="3" t="n">
        <v>10</v>
      </c>
      <c r="L8" s="3" t="n">
        <v>50</v>
      </c>
      <c r="M8" s="3" t="n">
        <v>0</v>
      </c>
      <c r="N8" s="3" t="n">
        <v>60</v>
      </c>
      <c r="O8" s="3" t="n">
        <v>102</v>
      </c>
      <c r="P8" s="3" t="n">
        <v>40</v>
      </c>
      <c r="Q8" s="3" t="n">
        <v>45</v>
      </c>
      <c r="R8" s="3"/>
      <c r="S8" s="3" t="s">
        <v>59</v>
      </c>
      <c r="T8" s="4" t="s">
        <v>36</v>
      </c>
      <c r="U8" s="4" t="s">
        <v>37</v>
      </c>
      <c r="V8" s="4" t="s">
        <v>36</v>
      </c>
      <c r="W8" s="4" t="s">
        <v>37</v>
      </c>
      <c r="X8" s="4" t="s">
        <v>36</v>
      </c>
      <c r="Y8" s="4" t="s">
        <v>37</v>
      </c>
      <c r="Z8" s="4" t="s">
        <v>31</v>
      </c>
      <c r="AA8" s="4" t="s">
        <v>30</v>
      </c>
      <c r="AB8" s="4" t="str">
        <f aca="false">IF(OR(AA8="",C8=""),"",IF(C8="ATTACK",IF(AA8="ATTACK","TP","FN"),IF(AA8="ATTACK","FP","TN")))</f>
        <v>TN</v>
      </c>
    </row>
    <row r="9" customFormat="false" ht="15" hidden="false" customHeight="false" outlineLevel="0" collapsed="false">
      <c r="A9" s="3" t="s">
        <v>60</v>
      </c>
      <c r="B9" s="3" t="s">
        <v>61</v>
      </c>
      <c r="C9" s="3" t="s">
        <v>30</v>
      </c>
      <c r="D9" s="3" t="s">
        <v>31</v>
      </c>
      <c r="E9" s="3" t="s">
        <v>32</v>
      </c>
      <c r="F9" s="3" t="n">
        <v>16</v>
      </c>
      <c r="G9" s="3" t="s">
        <v>52</v>
      </c>
      <c r="H9" s="3" t="n">
        <v>75</v>
      </c>
      <c r="I9" s="3" t="s">
        <v>34</v>
      </c>
      <c r="J9" s="3" t="n">
        <v>1</v>
      </c>
      <c r="K9" s="3" t="n">
        <v>10</v>
      </c>
      <c r="L9" s="3" t="n">
        <v>50</v>
      </c>
      <c r="M9" s="3" t="n">
        <v>0</v>
      </c>
      <c r="N9" s="3" t="n">
        <v>45</v>
      </c>
      <c r="O9" s="3" t="n">
        <v>60</v>
      </c>
      <c r="P9" s="3" t="n">
        <v>65</v>
      </c>
      <c r="Q9" s="3" t="n">
        <v>50</v>
      </c>
      <c r="R9" s="3"/>
      <c r="S9" s="3" t="s">
        <v>62</v>
      </c>
      <c r="T9" s="4" t="s">
        <v>36</v>
      </c>
      <c r="U9" s="4" t="s">
        <v>37</v>
      </c>
      <c r="V9" s="4" t="s">
        <v>36</v>
      </c>
      <c r="W9" s="4" t="s">
        <v>37</v>
      </c>
      <c r="X9" s="4" t="s">
        <v>36</v>
      </c>
      <c r="Y9" s="4" t="s">
        <v>37</v>
      </c>
      <c r="Z9" s="4" t="s">
        <v>31</v>
      </c>
      <c r="AA9" s="4" t="s">
        <v>30</v>
      </c>
      <c r="AB9" s="4" t="str">
        <f aca="false">IF(OR(AA9="",C9=""),"",IF(C9="ATTACK",IF(AA9="ATTACK","TP","FN"),IF(AA9="ATTACK","FP","TN")))</f>
        <v>TN</v>
      </c>
    </row>
    <row r="10" customFormat="false" ht="15" hidden="false" customHeight="false" outlineLevel="0" collapsed="false">
      <c r="A10" s="3" t="s">
        <v>63</v>
      </c>
      <c r="B10" s="3" t="s">
        <v>64</v>
      </c>
      <c r="C10" s="3" t="s">
        <v>30</v>
      </c>
      <c r="D10" s="3" t="s">
        <v>31</v>
      </c>
      <c r="E10" s="3" t="s">
        <v>32</v>
      </c>
      <c r="F10" s="3" t="n">
        <v>16</v>
      </c>
      <c r="G10" s="3" t="s">
        <v>56</v>
      </c>
      <c r="H10" s="3" t="n">
        <v>12</v>
      </c>
      <c r="I10" s="3" t="s">
        <v>34</v>
      </c>
      <c r="J10" s="3" t="n">
        <v>1</v>
      </c>
      <c r="K10" s="3" t="n">
        <v>10</v>
      </c>
      <c r="L10" s="3" t="n">
        <v>50</v>
      </c>
      <c r="M10" s="3" t="n">
        <v>0</v>
      </c>
      <c r="N10" s="3" t="n">
        <v>45</v>
      </c>
      <c r="O10" s="3" t="n">
        <v>60</v>
      </c>
      <c r="P10" s="3" t="n">
        <v>40</v>
      </c>
      <c r="Q10" s="3" t="n">
        <v>45</v>
      </c>
      <c r="R10" s="3"/>
      <c r="S10" s="3" t="s">
        <v>65</v>
      </c>
      <c r="T10" s="4" t="s">
        <v>36</v>
      </c>
      <c r="U10" s="4" t="s">
        <v>37</v>
      </c>
      <c r="V10" s="4" t="s">
        <v>36</v>
      </c>
      <c r="W10" s="4" t="s">
        <v>37</v>
      </c>
      <c r="X10" s="4" t="s">
        <v>36</v>
      </c>
      <c r="Y10" s="4" t="s">
        <v>37</v>
      </c>
      <c r="Z10" s="4" t="s">
        <v>31</v>
      </c>
      <c r="AA10" s="4" t="s">
        <v>30</v>
      </c>
      <c r="AB10" s="4" t="str">
        <f aca="false">IF(OR(AA10="",C10=""),"",IF(C10="ATTACK",IF(AA10="ATTACK","TP","FN"),IF(AA10="ATTACK","FP","TN")))</f>
        <v>TN</v>
      </c>
    </row>
    <row r="11" customFormat="false" ht="15" hidden="false" customHeight="false" outlineLevel="0" collapsed="false">
      <c r="A11" s="3" t="s">
        <v>66</v>
      </c>
      <c r="B11" s="3" t="s">
        <v>67</v>
      </c>
      <c r="C11" s="3" t="s">
        <v>30</v>
      </c>
      <c r="D11" s="3" t="s">
        <v>31</v>
      </c>
      <c r="E11" s="3" t="s">
        <v>32</v>
      </c>
      <c r="F11" s="3" t="n">
        <v>16</v>
      </c>
      <c r="G11" s="3" t="s">
        <v>44</v>
      </c>
      <c r="H11" s="3" t="n">
        <v>20</v>
      </c>
      <c r="I11" s="3" t="s">
        <v>34</v>
      </c>
      <c r="J11" s="3" t="n">
        <v>1</v>
      </c>
      <c r="K11" s="3" t="n">
        <v>10</v>
      </c>
      <c r="L11" s="3" t="n">
        <v>50</v>
      </c>
      <c r="M11" s="3" t="n">
        <v>0</v>
      </c>
      <c r="N11" s="3" t="n">
        <v>30</v>
      </c>
      <c r="O11" s="3" t="n">
        <v>80</v>
      </c>
      <c r="P11" s="3" t="n">
        <v>40</v>
      </c>
      <c r="Q11" s="3" t="n">
        <v>45</v>
      </c>
      <c r="R11" s="3"/>
      <c r="S11" s="3" t="s">
        <v>68</v>
      </c>
      <c r="T11" s="4" t="s">
        <v>36</v>
      </c>
      <c r="U11" s="4" t="s">
        <v>37</v>
      </c>
      <c r="V11" s="4" t="s">
        <v>36</v>
      </c>
      <c r="W11" s="4" t="s">
        <v>37</v>
      </c>
      <c r="X11" s="4" t="s">
        <v>36</v>
      </c>
      <c r="Y11" s="4" t="s">
        <v>37</v>
      </c>
      <c r="Z11" s="4" t="s">
        <v>31</v>
      </c>
      <c r="AA11" s="4" t="s">
        <v>30</v>
      </c>
      <c r="AB11" s="4" t="str">
        <f aca="false">IF(OR(AA11="",C11=""),"",IF(C11="ATTACK",IF(AA11="ATTACK","TP","FN"),IF(AA11="ATTACK","FP","TN")))</f>
        <v>TN</v>
      </c>
    </row>
    <row r="12" customFormat="false" ht="15" hidden="false" customHeight="false" outlineLevel="0" collapsed="false">
      <c r="A12" s="3" t="s">
        <v>69</v>
      </c>
      <c r="B12" s="3" t="s">
        <v>70</v>
      </c>
      <c r="C12" s="3" t="s">
        <v>30</v>
      </c>
      <c r="D12" s="3" t="s">
        <v>31</v>
      </c>
      <c r="E12" s="3" t="s">
        <v>32</v>
      </c>
      <c r="F12" s="3" t="n">
        <v>16</v>
      </c>
      <c r="G12" s="3" t="s">
        <v>33</v>
      </c>
      <c r="H12" s="3" t="n">
        <v>86</v>
      </c>
      <c r="I12" s="3" t="s">
        <v>34</v>
      </c>
      <c r="J12" s="3" t="n">
        <v>1</v>
      </c>
      <c r="K12" s="3" t="n">
        <v>5</v>
      </c>
      <c r="L12" s="3" t="n">
        <v>80</v>
      </c>
      <c r="M12" s="3" t="n">
        <v>0</v>
      </c>
      <c r="N12" s="3" t="n">
        <v>45</v>
      </c>
      <c r="O12" s="3" t="n">
        <v>110</v>
      </c>
      <c r="P12" s="3" t="n">
        <v>40</v>
      </c>
      <c r="Q12" s="3" t="n">
        <v>45</v>
      </c>
      <c r="R12" s="3"/>
      <c r="S12" s="3" t="s">
        <v>71</v>
      </c>
      <c r="T12" s="4" t="s">
        <v>36</v>
      </c>
      <c r="U12" s="4" t="s">
        <v>37</v>
      </c>
      <c r="V12" s="4" t="s">
        <v>36</v>
      </c>
      <c r="W12" s="4" t="s">
        <v>37</v>
      </c>
      <c r="X12" s="4" t="s">
        <v>36</v>
      </c>
      <c r="Y12" s="4" t="s">
        <v>37</v>
      </c>
      <c r="Z12" s="4" t="s">
        <v>31</v>
      </c>
      <c r="AA12" s="4" t="s">
        <v>30</v>
      </c>
      <c r="AB12" s="4" t="str">
        <f aca="false">IF(OR(AA12="",C12=""),"",IF(C12="ATTACK",IF(AA12="ATTACK","TP","FN"),IF(AA12="ATTACK","FP","TN")))</f>
        <v>TN</v>
      </c>
    </row>
    <row r="13" customFormat="false" ht="15" hidden="false" customHeight="false" outlineLevel="0" collapsed="false">
      <c r="A13" s="3" t="s">
        <v>72</v>
      </c>
      <c r="B13" s="3" t="s">
        <v>73</v>
      </c>
      <c r="C13" s="3" t="s">
        <v>30</v>
      </c>
      <c r="D13" s="3" t="s">
        <v>31</v>
      </c>
      <c r="E13" s="3" t="s">
        <v>32</v>
      </c>
      <c r="F13" s="3" t="n">
        <v>16</v>
      </c>
      <c r="G13" s="3" t="s">
        <v>52</v>
      </c>
      <c r="H13" s="3" t="n">
        <v>75</v>
      </c>
      <c r="I13" s="3" t="s">
        <v>34</v>
      </c>
      <c r="J13" s="3" t="n">
        <v>1</v>
      </c>
      <c r="K13" s="3" t="n">
        <v>10</v>
      </c>
      <c r="L13" s="3" t="n">
        <v>50</v>
      </c>
      <c r="M13" s="3" t="n">
        <v>0</v>
      </c>
      <c r="N13" s="3" t="n">
        <v>45</v>
      </c>
      <c r="O13" s="3" t="n">
        <v>60</v>
      </c>
      <c r="P13" s="3" t="n">
        <v>80</v>
      </c>
      <c r="Q13" s="3" t="n">
        <v>10</v>
      </c>
      <c r="R13" s="3"/>
      <c r="S13" s="3" t="s">
        <v>74</v>
      </c>
      <c r="T13" s="4" t="s">
        <v>36</v>
      </c>
      <c r="U13" s="4" t="s">
        <v>37</v>
      </c>
      <c r="V13" s="4" t="s">
        <v>36</v>
      </c>
      <c r="W13" s="4" t="s">
        <v>37</v>
      </c>
      <c r="X13" s="4" t="s">
        <v>36</v>
      </c>
      <c r="Y13" s="4" t="s">
        <v>37</v>
      </c>
      <c r="Z13" s="4" t="s">
        <v>31</v>
      </c>
      <c r="AA13" s="4" t="s">
        <v>30</v>
      </c>
      <c r="AB13" s="4" t="str">
        <f aca="false">IF(OR(AA13="",C13=""),"",IF(C13="ATTACK",IF(AA13="ATTACK","TP","FN"),IF(AA13="ATTACK","FP","TN")))</f>
        <v>TN</v>
      </c>
    </row>
    <row r="14" customFormat="false" ht="15" hidden="false" customHeight="false" outlineLevel="0" collapsed="false">
      <c r="A14" s="3" t="s">
        <v>75</v>
      </c>
      <c r="B14" s="3" t="s">
        <v>76</v>
      </c>
      <c r="C14" s="3" t="s">
        <v>30</v>
      </c>
      <c r="D14" s="3" t="s">
        <v>31</v>
      </c>
      <c r="E14" s="3" t="s">
        <v>32</v>
      </c>
      <c r="F14" s="3" t="n">
        <v>16</v>
      </c>
      <c r="G14" s="3" t="s">
        <v>40</v>
      </c>
      <c r="H14" s="3" t="n">
        <v>80</v>
      </c>
      <c r="I14" s="3" t="s">
        <v>34</v>
      </c>
      <c r="J14" s="3" t="n">
        <v>1</v>
      </c>
      <c r="K14" s="3" t="n">
        <v>10</v>
      </c>
      <c r="L14" s="3" t="n">
        <v>50</v>
      </c>
      <c r="M14" s="3" t="n">
        <v>0</v>
      </c>
      <c r="N14" s="3" t="n">
        <v>45</v>
      </c>
      <c r="O14" s="3" t="n">
        <v>60</v>
      </c>
      <c r="P14" s="3" t="n">
        <v>40</v>
      </c>
      <c r="Q14" s="3" t="n">
        <v>45</v>
      </c>
      <c r="R14" s="3"/>
      <c r="S14" s="3" t="s">
        <v>77</v>
      </c>
      <c r="T14" s="4" t="s">
        <v>36</v>
      </c>
      <c r="U14" s="4" t="s">
        <v>37</v>
      </c>
      <c r="V14" s="4" t="s">
        <v>36</v>
      </c>
      <c r="W14" s="4" t="s">
        <v>37</v>
      </c>
      <c r="X14" s="4" t="s">
        <v>36</v>
      </c>
      <c r="Y14" s="4" t="s">
        <v>37</v>
      </c>
      <c r="Z14" s="4" t="s">
        <v>31</v>
      </c>
      <c r="AA14" s="4" t="s">
        <v>30</v>
      </c>
      <c r="AB14" s="4" t="str">
        <f aca="false">IF(OR(AA14="",C14=""),"",IF(C14="ATTACK",IF(AA14="ATTACK","TP","FN"),IF(AA14="ATTACK","FP","TN")))</f>
        <v>TN</v>
      </c>
    </row>
    <row r="15" customFormat="false" ht="15" hidden="false" customHeight="false" outlineLevel="0" collapsed="false">
      <c r="A15" s="3" t="s">
        <v>78</v>
      </c>
      <c r="B15" s="3" t="s">
        <v>79</v>
      </c>
      <c r="C15" s="3" t="s">
        <v>30</v>
      </c>
      <c r="D15" s="3" t="s">
        <v>31</v>
      </c>
      <c r="E15" s="3" t="s">
        <v>80</v>
      </c>
      <c r="F15" s="3" t="n">
        <v>16</v>
      </c>
      <c r="G15" s="3" t="s">
        <v>44</v>
      </c>
      <c r="H15" s="3" t="n">
        <v>46</v>
      </c>
      <c r="I15" s="3" t="s">
        <v>34</v>
      </c>
      <c r="J15" s="3" t="n">
        <v>1</v>
      </c>
      <c r="K15" s="3" t="n">
        <v>12</v>
      </c>
      <c r="L15" s="3" t="n">
        <v>50</v>
      </c>
      <c r="M15" s="3" t="n">
        <v>0</v>
      </c>
      <c r="N15" s="3" t="n">
        <v>45</v>
      </c>
      <c r="O15" s="3" t="n">
        <v>60</v>
      </c>
      <c r="P15" s="3" t="n">
        <v>40</v>
      </c>
      <c r="Q15" s="3" t="n">
        <v>45</v>
      </c>
      <c r="R15" s="3"/>
      <c r="S15" s="3" t="s">
        <v>81</v>
      </c>
      <c r="T15" s="4" t="s">
        <v>36</v>
      </c>
      <c r="U15" s="4" t="s">
        <v>37</v>
      </c>
      <c r="V15" s="4" t="s">
        <v>36</v>
      </c>
      <c r="W15" s="4" t="s">
        <v>37</v>
      </c>
      <c r="X15" s="4" t="s">
        <v>36</v>
      </c>
      <c r="Y15" s="4" t="s">
        <v>37</v>
      </c>
      <c r="Z15" s="4" t="s">
        <v>31</v>
      </c>
      <c r="AA15" s="4" t="s">
        <v>30</v>
      </c>
      <c r="AB15" s="4" t="str">
        <f aca="false">IF(OR(AA15="",C15=""),"",IF(C15="ATTACK",IF(AA15="ATTACK","TP","FN"),IF(AA15="ATTACK","FP","TN")))</f>
        <v>TN</v>
      </c>
    </row>
    <row r="16" customFormat="false" ht="15" hidden="false" customHeight="false" outlineLevel="0" collapsed="false">
      <c r="A16" s="3" t="s">
        <v>82</v>
      </c>
      <c r="B16" s="3" t="s">
        <v>83</v>
      </c>
      <c r="C16" s="3" t="s">
        <v>30</v>
      </c>
      <c r="D16" s="3" t="s">
        <v>31</v>
      </c>
      <c r="E16" s="3" t="s">
        <v>32</v>
      </c>
      <c r="F16" s="3" t="n">
        <v>16</v>
      </c>
      <c r="G16" s="3" t="s">
        <v>48</v>
      </c>
      <c r="H16" s="3" t="n">
        <v>124</v>
      </c>
      <c r="I16" s="3" t="s">
        <v>34</v>
      </c>
      <c r="J16" s="3" t="n">
        <v>1</v>
      </c>
      <c r="K16" s="3" t="n">
        <v>10</v>
      </c>
      <c r="L16" s="3" t="n">
        <v>84</v>
      </c>
      <c r="M16" s="3" t="n">
        <v>0</v>
      </c>
      <c r="N16" s="3" t="n">
        <v>60</v>
      </c>
      <c r="O16" s="3" t="n">
        <v>115</v>
      </c>
      <c r="P16" s="3" t="n">
        <v>40</v>
      </c>
      <c r="Q16" s="3" t="n">
        <v>45</v>
      </c>
      <c r="R16" s="3"/>
      <c r="S16" s="3"/>
      <c r="T16" s="4" t="s">
        <v>36</v>
      </c>
      <c r="U16" s="4" t="s">
        <v>37</v>
      </c>
      <c r="V16" s="4" t="s">
        <v>36</v>
      </c>
      <c r="W16" s="4" t="s">
        <v>37</v>
      </c>
      <c r="X16" s="4" t="s">
        <v>36</v>
      </c>
      <c r="Y16" s="4" t="s">
        <v>37</v>
      </c>
      <c r="Z16" s="4" t="s">
        <v>31</v>
      </c>
      <c r="AA16" s="4" t="s">
        <v>30</v>
      </c>
      <c r="AB16" s="4" t="str">
        <f aca="false">IF(OR(AA16="",C16=""),"",IF(C16="ATTACK",IF(AA16="ATTACK","TP","FN"),IF(AA16="ATTACK","FP","TN")))</f>
        <v>TN</v>
      </c>
    </row>
    <row r="17" customFormat="false" ht="15" hidden="false" customHeight="false" outlineLevel="0" collapsed="false">
      <c r="A17" s="3" t="s">
        <v>84</v>
      </c>
      <c r="B17" s="3" t="s">
        <v>85</v>
      </c>
      <c r="C17" s="3" t="s">
        <v>30</v>
      </c>
      <c r="D17" s="3" t="s">
        <v>31</v>
      </c>
      <c r="E17" s="3" t="s">
        <v>32</v>
      </c>
      <c r="F17" s="3" t="n">
        <v>16</v>
      </c>
      <c r="G17" s="3" t="s">
        <v>40</v>
      </c>
      <c r="H17" s="3" t="n">
        <v>110</v>
      </c>
      <c r="I17" s="3" t="s">
        <v>34</v>
      </c>
      <c r="J17" s="3" t="n">
        <v>1</v>
      </c>
      <c r="K17" s="3" t="n">
        <v>5</v>
      </c>
      <c r="L17" s="3" t="n">
        <v>80</v>
      </c>
      <c r="M17" s="3" t="n">
        <v>100</v>
      </c>
      <c r="N17" s="3" t="n">
        <v>45</v>
      </c>
      <c r="O17" s="3" t="n">
        <v>60</v>
      </c>
      <c r="P17" s="3" t="n">
        <v>40</v>
      </c>
      <c r="Q17" s="3" t="n">
        <v>45</v>
      </c>
      <c r="R17" s="3"/>
      <c r="S17" s="3"/>
      <c r="T17" s="4" t="s">
        <v>36</v>
      </c>
      <c r="U17" s="4" t="s">
        <v>37</v>
      </c>
      <c r="V17" s="4" t="s">
        <v>36</v>
      </c>
      <c r="W17" s="4" t="s">
        <v>37</v>
      </c>
      <c r="X17" s="4" t="s">
        <v>36</v>
      </c>
      <c r="Y17" s="4" t="s">
        <v>37</v>
      </c>
      <c r="Z17" s="4" t="s">
        <v>31</v>
      </c>
      <c r="AA17" s="4" t="s">
        <v>30</v>
      </c>
      <c r="AB17" s="4" t="str">
        <f aca="false">IF(OR(AA17="",C17=""),"",IF(C17="ATTACK",IF(AA17="ATTACK","TP","FN"),IF(AA17="ATTACK","FP","TN")))</f>
        <v>TN</v>
      </c>
    </row>
    <row r="18" customFormat="false" ht="15" hidden="false" customHeight="false" outlineLevel="0" collapsed="false">
      <c r="A18" s="3" t="s">
        <v>86</v>
      </c>
      <c r="B18" s="3" t="s">
        <v>87</v>
      </c>
      <c r="C18" s="3" t="s">
        <v>30</v>
      </c>
      <c r="D18" s="3" t="s">
        <v>31</v>
      </c>
      <c r="E18" s="3" t="s">
        <v>32</v>
      </c>
      <c r="F18" s="3" t="n">
        <v>16</v>
      </c>
      <c r="G18" s="3" t="s">
        <v>44</v>
      </c>
      <c r="H18" s="3" t="n">
        <v>44</v>
      </c>
      <c r="I18" s="3" t="s">
        <v>34</v>
      </c>
      <c r="J18" s="3" t="n">
        <v>1</v>
      </c>
      <c r="K18" s="3" t="n">
        <v>5</v>
      </c>
      <c r="L18" s="3" t="n">
        <v>30</v>
      </c>
      <c r="M18" s="3" t="n">
        <v>0</v>
      </c>
      <c r="N18" s="3" t="n">
        <v>60</v>
      </c>
      <c r="O18" s="3" t="n">
        <v>60</v>
      </c>
      <c r="P18" s="3" t="n">
        <v>40</v>
      </c>
      <c r="Q18" s="3" t="n">
        <v>45</v>
      </c>
      <c r="R18" s="3"/>
      <c r="S18" s="3"/>
      <c r="T18" s="4" t="s">
        <v>36</v>
      </c>
      <c r="U18" s="4" t="s">
        <v>37</v>
      </c>
      <c r="V18" s="4" t="s">
        <v>36</v>
      </c>
      <c r="W18" s="4" t="s">
        <v>37</v>
      </c>
      <c r="X18" s="4" t="s">
        <v>36</v>
      </c>
      <c r="Y18" s="4" t="s">
        <v>37</v>
      </c>
      <c r="Z18" s="4" t="s">
        <v>31</v>
      </c>
      <c r="AA18" s="4" t="s">
        <v>30</v>
      </c>
      <c r="AB18" s="4" t="str">
        <f aca="false">IF(OR(AA18="",C18=""),"",IF(C18="ATTACK",IF(AA18="ATTACK","TP","FN"),IF(AA18="ATTACK","FP","TN")))</f>
        <v>TN</v>
      </c>
    </row>
    <row r="19" customFormat="false" ht="15" hidden="false" customHeight="false" outlineLevel="0" collapsed="false">
      <c r="A19" s="3" t="s">
        <v>88</v>
      </c>
      <c r="B19" s="3" t="s">
        <v>89</v>
      </c>
      <c r="C19" s="3" t="s">
        <v>30</v>
      </c>
      <c r="D19" s="3" t="s">
        <v>31</v>
      </c>
      <c r="E19" s="3" t="s">
        <v>32</v>
      </c>
      <c r="F19" s="3" t="n">
        <v>16</v>
      </c>
      <c r="G19" s="3" t="s">
        <v>44</v>
      </c>
      <c r="H19" s="3" t="n">
        <v>80</v>
      </c>
      <c r="I19" s="3" t="s">
        <v>34</v>
      </c>
      <c r="J19" s="3" t="n">
        <v>1</v>
      </c>
      <c r="K19" s="3" t="n">
        <v>1</v>
      </c>
      <c r="L19" s="3" t="n">
        <v>50</v>
      </c>
      <c r="M19" s="3" t="n">
        <v>0</v>
      </c>
      <c r="N19" s="3" t="n">
        <v>45</v>
      </c>
      <c r="O19" s="3" t="n">
        <v>60</v>
      </c>
      <c r="P19" s="3" t="n">
        <v>40</v>
      </c>
      <c r="Q19" s="3" t="n">
        <v>45</v>
      </c>
      <c r="R19" s="3"/>
      <c r="S19" s="3" t="s">
        <v>90</v>
      </c>
      <c r="T19" s="4" t="s">
        <v>36</v>
      </c>
      <c r="U19" s="4" t="s">
        <v>37</v>
      </c>
      <c r="V19" s="4" t="s">
        <v>91</v>
      </c>
      <c r="W19" s="4" t="s">
        <v>92</v>
      </c>
      <c r="X19" s="4" t="s">
        <v>93</v>
      </c>
      <c r="Y19" s="4" t="s">
        <v>92</v>
      </c>
      <c r="Z19" s="4" t="s">
        <v>94</v>
      </c>
      <c r="AA19" s="4" t="s">
        <v>95</v>
      </c>
      <c r="AB19" s="4" t="str">
        <f aca="false">IF(OR(AA19="",C19=""),"",IF(C19="ATTACK",IF(AA19="ATTACK","TP","FN"),IF(AA19="ATTACK","FP","TN")))</f>
        <v>FP</v>
      </c>
    </row>
    <row r="20" customFormat="false" ht="15" hidden="false" customHeight="false" outlineLevel="0" collapsed="false">
      <c r="A20" s="3" t="s">
        <v>96</v>
      </c>
      <c r="B20" s="3" t="s">
        <v>97</v>
      </c>
      <c r="C20" s="3" t="s">
        <v>30</v>
      </c>
      <c r="D20" s="3" t="s">
        <v>31</v>
      </c>
      <c r="E20" s="3" t="s">
        <v>32</v>
      </c>
      <c r="F20" s="3" t="n">
        <v>16</v>
      </c>
      <c r="G20" s="3" t="s">
        <v>56</v>
      </c>
      <c r="H20" s="3" t="n">
        <v>46</v>
      </c>
      <c r="I20" s="3" t="s">
        <v>34</v>
      </c>
      <c r="J20" s="3" t="n">
        <v>3</v>
      </c>
      <c r="K20" s="3" t="n">
        <v>12</v>
      </c>
      <c r="L20" s="3" t="n">
        <v>50</v>
      </c>
      <c r="M20" s="3" t="n">
        <v>0</v>
      </c>
      <c r="N20" s="3" t="n">
        <v>45</v>
      </c>
      <c r="O20" s="3" t="n">
        <v>60</v>
      </c>
      <c r="P20" s="3" t="n">
        <v>40</v>
      </c>
      <c r="Q20" s="3" t="n">
        <v>45</v>
      </c>
      <c r="R20" s="3"/>
      <c r="S20" s="3" t="s">
        <v>98</v>
      </c>
      <c r="T20" s="4" t="s">
        <v>36</v>
      </c>
      <c r="U20" s="4" t="s">
        <v>37</v>
      </c>
      <c r="V20" s="4" t="s">
        <v>36</v>
      </c>
      <c r="W20" s="4" t="s">
        <v>37</v>
      </c>
      <c r="X20" s="4" t="s">
        <v>36</v>
      </c>
      <c r="Y20" s="4" t="s">
        <v>37</v>
      </c>
      <c r="Z20" s="4" t="s">
        <v>31</v>
      </c>
      <c r="AA20" s="4" t="s">
        <v>30</v>
      </c>
      <c r="AB20" s="4" t="str">
        <f aca="false">IF(OR(AA20="",C20=""),"",IF(C20="ATTACK",IF(AA20="ATTACK","TP","FN"),IF(AA20="ATTACK","FP","TN")))</f>
        <v>TN</v>
      </c>
    </row>
    <row r="21" customFormat="false" ht="15" hidden="false" customHeight="false" outlineLevel="0" collapsed="false">
      <c r="A21" s="3" t="s">
        <v>99</v>
      </c>
      <c r="B21" s="3" t="s">
        <v>100</v>
      </c>
      <c r="C21" s="3" t="s">
        <v>30</v>
      </c>
      <c r="D21" s="3" t="s">
        <v>31</v>
      </c>
      <c r="E21" s="3" t="s">
        <v>32</v>
      </c>
      <c r="F21" s="3" t="n">
        <v>16</v>
      </c>
      <c r="G21" s="3" t="s">
        <v>56</v>
      </c>
      <c r="H21" s="3" t="n">
        <v>51</v>
      </c>
      <c r="I21" s="3" t="s">
        <v>34</v>
      </c>
      <c r="J21" s="3" t="n">
        <v>1</v>
      </c>
      <c r="K21" s="3" t="n">
        <v>12</v>
      </c>
      <c r="L21" s="3" t="n">
        <v>50</v>
      </c>
      <c r="M21" s="3" t="n">
        <v>0</v>
      </c>
      <c r="N21" s="3" t="n">
        <v>45</v>
      </c>
      <c r="O21" s="3" t="n">
        <v>60</v>
      </c>
      <c r="P21" s="3" t="n">
        <v>40</v>
      </c>
      <c r="Q21" s="3" t="n">
        <v>50</v>
      </c>
      <c r="R21" s="3"/>
      <c r="S21" s="3"/>
      <c r="T21" s="4" t="s">
        <v>36</v>
      </c>
      <c r="U21" s="4" t="s">
        <v>37</v>
      </c>
      <c r="V21" s="4" t="s">
        <v>36</v>
      </c>
      <c r="W21" s="4" t="s">
        <v>37</v>
      </c>
      <c r="X21" s="4" t="s">
        <v>36</v>
      </c>
      <c r="Y21" s="4" t="s">
        <v>37</v>
      </c>
      <c r="Z21" s="4" t="s">
        <v>31</v>
      </c>
      <c r="AA21" s="4" t="s">
        <v>30</v>
      </c>
      <c r="AB21" s="4" t="str">
        <f aca="false">IF(OR(AA21="",C21=""),"",IF(C21="ATTACK",IF(AA21="ATTACK","TP","FN"),IF(AA21="ATTACK","FP","TN")))</f>
        <v>TN</v>
      </c>
    </row>
    <row r="22" customFormat="false" ht="15" hidden="false" customHeight="false" outlineLevel="0" collapsed="false">
      <c r="A22" s="3" t="s">
        <v>101</v>
      </c>
      <c r="B22" s="3" t="s">
        <v>102</v>
      </c>
      <c r="C22" s="3" t="s">
        <v>95</v>
      </c>
      <c r="D22" s="3" t="s">
        <v>103</v>
      </c>
      <c r="E22" s="3" t="s">
        <v>32</v>
      </c>
      <c r="F22" s="3" t="n">
        <v>6</v>
      </c>
      <c r="G22" s="3" t="s">
        <v>44</v>
      </c>
      <c r="H22" s="3" t="n">
        <v>46</v>
      </c>
      <c r="I22" s="3" t="s">
        <v>104</v>
      </c>
      <c r="J22" s="3" t="n">
        <v>1</v>
      </c>
      <c r="K22" s="3" t="n">
        <v>12</v>
      </c>
      <c r="L22" s="3" t="n">
        <v>50</v>
      </c>
      <c r="M22" s="3" t="n">
        <v>0</v>
      </c>
      <c r="N22" s="3" t="n">
        <v>45</v>
      </c>
      <c r="O22" s="3" t="n">
        <v>60</v>
      </c>
      <c r="P22" s="3" t="n">
        <v>40</v>
      </c>
      <c r="Q22" s="3" t="n">
        <v>45</v>
      </c>
      <c r="R22" s="3"/>
      <c r="S22" s="3" t="s">
        <v>105</v>
      </c>
      <c r="T22" s="4" t="s">
        <v>91</v>
      </c>
      <c r="U22" s="4" t="s">
        <v>106</v>
      </c>
      <c r="V22" s="4" t="s">
        <v>36</v>
      </c>
      <c r="W22" s="4" t="s">
        <v>37</v>
      </c>
      <c r="X22" s="4" t="s">
        <v>93</v>
      </c>
      <c r="Y22" s="4" t="s">
        <v>106</v>
      </c>
      <c r="Z22" s="4" t="s">
        <v>103</v>
      </c>
      <c r="AA22" s="4" t="s">
        <v>95</v>
      </c>
      <c r="AB22" s="4" t="str">
        <f aca="false">IF(OR(AA22="",C22=""),"",IF(C22="ATTACK",IF(AA22="ATTACK","TP","FN"),IF(AA22="ATTACK","FP","TN")))</f>
        <v>TP</v>
      </c>
    </row>
    <row r="23" customFormat="false" ht="15" hidden="false" customHeight="false" outlineLevel="0" collapsed="false">
      <c r="A23" s="3" t="s">
        <v>107</v>
      </c>
      <c r="B23" s="3" t="s">
        <v>108</v>
      </c>
      <c r="C23" s="3" t="s">
        <v>95</v>
      </c>
      <c r="D23" s="3" t="s">
        <v>109</v>
      </c>
      <c r="E23" s="3" t="s">
        <v>32</v>
      </c>
      <c r="F23" s="3" t="n">
        <v>16</v>
      </c>
      <c r="G23" s="3" t="s">
        <v>48</v>
      </c>
      <c r="H23" s="3" t="n">
        <v>61</v>
      </c>
      <c r="I23" s="3" t="s">
        <v>110</v>
      </c>
      <c r="J23" s="3" t="n">
        <v>1</v>
      </c>
      <c r="K23" s="3" t="n">
        <v>12</v>
      </c>
      <c r="L23" s="3" t="n">
        <v>50</v>
      </c>
      <c r="M23" s="3" t="n">
        <v>0</v>
      </c>
      <c r="N23" s="3" t="n">
        <v>45</v>
      </c>
      <c r="O23" s="3" t="n">
        <v>60</v>
      </c>
      <c r="P23" s="3" t="n">
        <v>40</v>
      </c>
      <c r="Q23" s="3" t="n">
        <v>45</v>
      </c>
      <c r="R23" s="3"/>
      <c r="S23" s="3" t="s">
        <v>111</v>
      </c>
      <c r="T23" s="4" t="s">
        <v>91</v>
      </c>
      <c r="U23" s="4" t="s">
        <v>112</v>
      </c>
      <c r="V23" s="4" t="s">
        <v>91</v>
      </c>
      <c r="W23" s="4" t="s">
        <v>113</v>
      </c>
      <c r="X23" s="4" t="s">
        <v>93</v>
      </c>
      <c r="Y23" s="4" t="s">
        <v>112</v>
      </c>
      <c r="Z23" s="4" t="s">
        <v>109</v>
      </c>
      <c r="AA23" s="4" t="s">
        <v>95</v>
      </c>
      <c r="AB23" s="4" t="str">
        <f aca="false">IF(OR(AA23="",C23=""),"",IF(C23="ATTACK",IF(AA23="ATTACK","TP","FN"),IF(AA23="ATTACK","FP","TN")))</f>
        <v>TP</v>
      </c>
    </row>
    <row r="24" customFormat="false" ht="15" hidden="false" customHeight="false" outlineLevel="0" collapsed="false">
      <c r="A24" s="3" t="s">
        <v>114</v>
      </c>
      <c r="B24" s="3" t="s">
        <v>115</v>
      </c>
      <c r="C24" s="3" t="s">
        <v>95</v>
      </c>
      <c r="D24" s="3" t="s">
        <v>109</v>
      </c>
      <c r="E24" s="3" t="s">
        <v>32</v>
      </c>
      <c r="F24" s="3" t="n">
        <v>16</v>
      </c>
      <c r="G24" s="3" t="s">
        <v>44</v>
      </c>
      <c r="H24" s="3" t="n">
        <v>46</v>
      </c>
      <c r="I24" s="3" t="s">
        <v>116</v>
      </c>
      <c r="J24" s="3" t="n">
        <v>1</v>
      </c>
      <c r="K24" s="3" t="n">
        <v>12</v>
      </c>
      <c r="L24" s="3" t="n">
        <v>50</v>
      </c>
      <c r="M24" s="3" t="n">
        <v>0</v>
      </c>
      <c r="N24" s="3" t="n">
        <v>45</v>
      </c>
      <c r="O24" s="3" t="n">
        <v>60</v>
      </c>
      <c r="P24" s="3" t="n">
        <v>40</v>
      </c>
      <c r="Q24" s="3" t="n">
        <v>45</v>
      </c>
      <c r="R24" s="3"/>
      <c r="S24" s="3" t="s">
        <v>117</v>
      </c>
      <c r="T24" s="4" t="s">
        <v>91</v>
      </c>
      <c r="U24" s="4" t="s">
        <v>112</v>
      </c>
      <c r="V24" s="4" t="s">
        <v>36</v>
      </c>
      <c r="W24" s="4" t="s">
        <v>37</v>
      </c>
      <c r="X24" s="4" t="s">
        <v>93</v>
      </c>
      <c r="Y24" s="4" t="s">
        <v>112</v>
      </c>
      <c r="Z24" s="4" t="s">
        <v>109</v>
      </c>
      <c r="AA24" s="4" t="s">
        <v>95</v>
      </c>
      <c r="AB24" s="4" t="str">
        <f aca="false">IF(OR(AA24="",C24=""),"",IF(C24="ATTACK",IF(AA24="ATTACK","TP","FN"),IF(AA24="ATTACK","FP","TN")))</f>
        <v>TP</v>
      </c>
    </row>
    <row r="25" customFormat="false" ht="15" hidden="false" customHeight="false" outlineLevel="0" collapsed="false">
      <c r="A25" s="3" t="s">
        <v>118</v>
      </c>
      <c r="B25" s="3" t="s">
        <v>119</v>
      </c>
      <c r="C25" s="3" t="s">
        <v>95</v>
      </c>
      <c r="D25" s="3" t="s">
        <v>120</v>
      </c>
      <c r="E25" s="3" t="s">
        <v>32</v>
      </c>
      <c r="F25" s="3" t="n">
        <v>16</v>
      </c>
      <c r="G25" s="3" t="s">
        <v>40</v>
      </c>
      <c r="H25" s="3" t="n">
        <v>2</v>
      </c>
      <c r="I25" s="3" t="s">
        <v>121</v>
      </c>
      <c r="J25" s="3" t="n">
        <v>1</v>
      </c>
      <c r="K25" s="3" t="n">
        <v>12</v>
      </c>
      <c r="L25" s="3" t="n">
        <v>50</v>
      </c>
      <c r="M25" s="3" t="n">
        <v>0</v>
      </c>
      <c r="N25" s="3" t="n">
        <v>45</v>
      </c>
      <c r="O25" s="3" t="n">
        <v>60</v>
      </c>
      <c r="P25" s="3" t="n">
        <v>40</v>
      </c>
      <c r="Q25" s="3" t="n">
        <v>45</v>
      </c>
      <c r="R25" s="3"/>
      <c r="S25" s="3" t="s">
        <v>122</v>
      </c>
      <c r="T25" s="4" t="s">
        <v>91</v>
      </c>
      <c r="U25" s="4" t="s">
        <v>123</v>
      </c>
      <c r="V25" s="4" t="s">
        <v>36</v>
      </c>
      <c r="W25" s="4" t="s">
        <v>37</v>
      </c>
      <c r="X25" s="4" t="s">
        <v>93</v>
      </c>
      <c r="Y25" s="4" t="s">
        <v>123</v>
      </c>
      <c r="Z25" s="4" t="s">
        <v>120</v>
      </c>
      <c r="AA25" s="4" t="s">
        <v>95</v>
      </c>
      <c r="AB25" s="4" t="str">
        <f aca="false">IF(OR(AA25="",C25=""),"",IF(C25="ATTACK",IF(AA25="ATTACK","TP","FN"),IF(AA25="ATTACK","FP","TN")))</f>
        <v>TP</v>
      </c>
    </row>
    <row r="26" customFormat="false" ht="15" hidden="false" customHeight="false" outlineLevel="0" collapsed="false">
      <c r="A26" s="3" t="s">
        <v>124</v>
      </c>
      <c r="B26" s="3" t="s">
        <v>125</v>
      </c>
      <c r="C26" s="3" t="s">
        <v>95</v>
      </c>
      <c r="D26" s="3" t="s">
        <v>126</v>
      </c>
      <c r="E26" s="3" t="s">
        <v>32</v>
      </c>
      <c r="F26" s="3" t="n">
        <v>16</v>
      </c>
      <c r="G26" s="3" t="s">
        <v>40</v>
      </c>
      <c r="H26" s="3" t="n">
        <v>2</v>
      </c>
      <c r="I26" s="3" t="s">
        <v>127</v>
      </c>
      <c r="J26" s="3" t="n">
        <v>1</v>
      </c>
      <c r="K26" s="3" t="n">
        <v>12</v>
      </c>
      <c r="L26" s="3" t="n">
        <v>50</v>
      </c>
      <c r="M26" s="3" t="n">
        <v>0</v>
      </c>
      <c r="N26" s="3" t="n">
        <v>45</v>
      </c>
      <c r="O26" s="3" t="n">
        <v>60</v>
      </c>
      <c r="P26" s="3" t="n">
        <v>40</v>
      </c>
      <c r="Q26" s="3" t="n">
        <v>45</v>
      </c>
      <c r="R26" s="3"/>
      <c r="S26" s="3" t="s">
        <v>128</v>
      </c>
      <c r="T26" s="4" t="s">
        <v>91</v>
      </c>
      <c r="U26" s="4" t="s">
        <v>129</v>
      </c>
      <c r="V26" s="4" t="s">
        <v>36</v>
      </c>
      <c r="W26" s="4" t="s">
        <v>37</v>
      </c>
      <c r="X26" s="4" t="s">
        <v>93</v>
      </c>
      <c r="Y26" s="4" t="s">
        <v>129</v>
      </c>
      <c r="Z26" s="4" t="s">
        <v>126</v>
      </c>
      <c r="AA26" s="4" t="s">
        <v>95</v>
      </c>
      <c r="AB26" s="4" t="str">
        <f aca="false">IF(OR(AA26="",C26=""),"",IF(C26="ATTACK",IF(AA26="ATTACK","TP","FN"),IF(AA26="ATTACK","FP","TN")))</f>
        <v>TP</v>
      </c>
    </row>
    <row r="27" customFormat="false" ht="15" hidden="false" customHeight="false" outlineLevel="0" collapsed="false">
      <c r="A27" s="3" t="s">
        <v>130</v>
      </c>
      <c r="B27" s="3" t="s">
        <v>131</v>
      </c>
      <c r="C27" s="3" t="s">
        <v>95</v>
      </c>
      <c r="D27" s="3" t="s">
        <v>132</v>
      </c>
      <c r="E27" s="3" t="s">
        <v>32</v>
      </c>
      <c r="F27" s="3" t="n">
        <v>16</v>
      </c>
      <c r="G27" s="3" t="s">
        <v>44</v>
      </c>
      <c r="H27" s="3" t="n">
        <v>46</v>
      </c>
      <c r="I27" s="3" t="s">
        <v>133</v>
      </c>
      <c r="J27" s="3" t="n">
        <v>1</v>
      </c>
      <c r="K27" s="3" t="n">
        <v>12</v>
      </c>
      <c r="L27" s="3" t="n">
        <v>50</v>
      </c>
      <c r="M27" s="3" t="n">
        <v>0</v>
      </c>
      <c r="N27" s="3" t="n">
        <v>45</v>
      </c>
      <c r="O27" s="3" t="n">
        <v>60</v>
      </c>
      <c r="P27" s="3" t="n">
        <v>40</v>
      </c>
      <c r="Q27" s="3" t="n">
        <v>45</v>
      </c>
      <c r="R27" s="3"/>
      <c r="S27" s="3" t="s">
        <v>134</v>
      </c>
      <c r="T27" s="4" t="s">
        <v>91</v>
      </c>
      <c r="U27" s="4" t="s">
        <v>135</v>
      </c>
      <c r="V27" s="4" t="s">
        <v>36</v>
      </c>
      <c r="W27" s="4" t="s">
        <v>37</v>
      </c>
      <c r="X27" s="4" t="s">
        <v>93</v>
      </c>
      <c r="Y27" s="4" t="s">
        <v>135</v>
      </c>
      <c r="Z27" s="4" t="s">
        <v>132</v>
      </c>
      <c r="AA27" s="4" t="s">
        <v>95</v>
      </c>
      <c r="AB27" s="4" t="str">
        <f aca="false">IF(OR(AA27="",C27=""),"",IF(C27="ATTACK",IF(AA27="ATTACK","TP","FN"),IF(AA27="ATTACK","FP","TN")))</f>
        <v>TP</v>
      </c>
    </row>
    <row r="28" customFormat="false" ht="15" hidden="false" customHeight="false" outlineLevel="0" collapsed="false">
      <c r="A28" s="3" t="s">
        <v>136</v>
      </c>
      <c r="B28" s="3" t="s">
        <v>137</v>
      </c>
      <c r="C28" s="3" t="s">
        <v>95</v>
      </c>
      <c r="D28" s="3" t="s">
        <v>138</v>
      </c>
      <c r="E28" s="3" t="s">
        <v>139</v>
      </c>
      <c r="F28" s="3" t="n">
        <v>16</v>
      </c>
      <c r="G28" s="3" t="s">
        <v>44</v>
      </c>
      <c r="H28" s="3" t="n">
        <v>46</v>
      </c>
      <c r="I28" s="3" t="s">
        <v>34</v>
      </c>
      <c r="J28" s="3" t="n">
        <v>1</v>
      </c>
      <c r="K28" s="3" t="n">
        <v>12</v>
      </c>
      <c r="L28" s="3" t="n">
        <v>50</v>
      </c>
      <c r="M28" s="3" t="n">
        <v>0</v>
      </c>
      <c r="N28" s="3" t="n">
        <v>45</v>
      </c>
      <c r="O28" s="3" t="n">
        <v>60</v>
      </c>
      <c r="P28" s="3" t="n">
        <v>40</v>
      </c>
      <c r="Q28" s="3" t="n">
        <v>45</v>
      </c>
      <c r="R28" s="3"/>
      <c r="S28" s="3" t="s">
        <v>140</v>
      </c>
      <c r="T28" s="4" t="s">
        <v>91</v>
      </c>
      <c r="U28" s="4" t="s">
        <v>141</v>
      </c>
      <c r="V28" s="4" t="s">
        <v>36</v>
      </c>
      <c r="W28" s="4" t="s">
        <v>37</v>
      </c>
      <c r="X28" s="4" t="s">
        <v>93</v>
      </c>
      <c r="Y28" s="4" t="s">
        <v>141</v>
      </c>
      <c r="Z28" s="4" t="s">
        <v>138</v>
      </c>
      <c r="AA28" s="4" t="s">
        <v>95</v>
      </c>
      <c r="AB28" s="4" t="str">
        <f aca="false">IF(OR(AA28="",C28=""),"",IF(C28="ATTACK",IF(AA28="ATTACK","TP","FN"),IF(AA28="ATTACK","FP","TN")))</f>
        <v>TP</v>
      </c>
    </row>
    <row r="29" customFormat="false" ht="15" hidden="false" customHeight="false" outlineLevel="0" collapsed="false">
      <c r="A29" s="3" t="s">
        <v>142</v>
      </c>
      <c r="B29" s="3" t="s">
        <v>143</v>
      </c>
      <c r="C29" s="3" t="s">
        <v>95</v>
      </c>
      <c r="D29" s="3" t="s">
        <v>144</v>
      </c>
      <c r="E29" s="3" t="s">
        <v>32</v>
      </c>
      <c r="F29" s="3" t="n">
        <v>16</v>
      </c>
      <c r="G29" s="3" t="s">
        <v>145</v>
      </c>
      <c r="H29" s="3" t="n">
        <v>10</v>
      </c>
      <c r="I29" s="3" t="s">
        <v>34</v>
      </c>
      <c r="J29" s="3" t="n">
        <v>1</v>
      </c>
      <c r="K29" s="3" t="n">
        <v>12</v>
      </c>
      <c r="L29" s="3" t="n">
        <v>50</v>
      </c>
      <c r="M29" s="3" t="n">
        <v>0</v>
      </c>
      <c r="N29" s="3" t="n">
        <v>45</v>
      </c>
      <c r="O29" s="3" t="n">
        <v>60</v>
      </c>
      <c r="P29" s="3" t="n">
        <v>40</v>
      </c>
      <c r="Q29" s="3" t="n">
        <v>45</v>
      </c>
      <c r="R29" s="3"/>
      <c r="S29" s="3" t="s">
        <v>146</v>
      </c>
      <c r="T29" s="4" t="s">
        <v>91</v>
      </c>
      <c r="U29" s="4" t="s">
        <v>147</v>
      </c>
      <c r="V29" s="4" t="s">
        <v>91</v>
      </c>
      <c r="W29" s="4" t="s">
        <v>148</v>
      </c>
      <c r="X29" s="4" t="s">
        <v>93</v>
      </c>
      <c r="Y29" s="4" t="s">
        <v>147</v>
      </c>
      <c r="Z29" s="4" t="s">
        <v>144</v>
      </c>
      <c r="AA29" s="4" t="s">
        <v>95</v>
      </c>
      <c r="AB29" s="4" t="str">
        <f aca="false">IF(OR(AA29="",C29=""),"",IF(C29="ATTACK",IF(AA29="ATTACK","TP","FN"),IF(AA29="ATTACK","FP","TN")))</f>
        <v>TP</v>
      </c>
    </row>
    <row r="30" customFormat="false" ht="15" hidden="false" customHeight="false" outlineLevel="0" collapsed="false">
      <c r="A30" s="3" t="s">
        <v>149</v>
      </c>
      <c r="B30" s="3" t="s">
        <v>150</v>
      </c>
      <c r="C30" s="3" t="s">
        <v>95</v>
      </c>
      <c r="D30" s="3" t="s">
        <v>151</v>
      </c>
      <c r="E30" s="3" t="s">
        <v>32</v>
      </c>
      <c r="F30" s="3" t="n">
        <v>5</v>
      </c>
      <c r="G30" s="3" t="s">
        <v>40</v>
      </c>
      <c r="H30" s="3" t="n">
        <v>2</v>
      </c>
      <c r="I30" s="3" t="s">
        <v>34</v>
      </c>
      <c r="J30" s="3" t="n">
        <v>1</v>
      </c>
      <c r="K30" s="3" t="n">
        <v>12</v>
      </c>
      <c r="L30" s="3" t="n">
        <v>50</v>
      </c>
      <c r="M30" s="3" t="n">
        <v>0</v>
      </c>
      <c r="N30" s="3" t="n">
        <v>45</v>
      </c>
      <c r="O30" s="3" t="n">
        <v>60</v>
      </c>
      <c r="P30" s="3" t="n">
        <v>40</v>
      </c>
      <c r="Q30" s="3" t="n">
        <v>45</v>
      </c>
      <c r="R30" s="3"/>
      <c r="S30" s="3" t="s">
        <v>152</v>
      </c>
      <c r="T30" s="4" t="s">
        <v>91</v>
      </c>
      <c r="U30" s="4" t="s">
        <v>153</v>
      </c>
      <c r="V30" s="4" t="s">
        <v>36</v>
      </c>
      <c r="W30" s="4" t="s">
        <v>37</v>
      </c>
      <c r="X30" s="4" t="s">
        <v>93</v>
      </c>
      <c r="Y30" s="4" t="s">
        <v>153</v>
      </c>
      <c r="Z30" s="4" t="s">
        <v>151</v>
      </c>
      <c r="AA30" s="4" t="s">
        <v>95</v>
      </c>
      <c r="AB30" s="4" t="str">
        <f aca="false">IF(OR(AA30="",C30=""),"",IF(C30="ATTACK",IF(AA30="ATTACK","TP","FN"),IF(AA30="ATTACK","FP","TN")))</f>
        <v>TP</v>
      </c>
    </row>
    <row r="31" customFormat="false" ht="15" hidden="false" customHeight="false" outlineLevel="0" collapsed="false">
      <c r="A31" s="3" t="s">
        <v>154</v>
      </c>
      <c r="B31" s="3" t="s">
        <v>155</v>
      </c>
      <c r="C31" s="3" t="s">
        <v>95</v>
      </c>
      <c r="D31" s="3" t="s">
        <v>156</v>
      </c>
      <c r="E31" s="3" t="s">
        <v>32</v>
      </c>
      <c r="F31" s="3" t="n">
        <v>16</v>
      </c>
      <c r="G31" s="3" t="s">
        <v>40</v>
      </c>
      <c r="H31" s="3" t="n">
        <v>2</v>
      </c>
      <c r="I31" s="3" t="s">
        <v>34</v>
      </c>
      <c r="J31" s="3" t="n">
        <v>8</v>
      </c>
      <c r="K31" s="3" t="n">
        <v>12</v>
      </c>
      <c r="L31" s="3" t="n">
        <v>50</v>
      </c>
      <c r="M31" s="3" t="n">
        <v>0</v>
      </c>
      <c r="N31" s="3" t="n">
        <v>45</v>
      </c>
      <c r="O31" s="3" t="n">
        <v>60</v>
      </c>
      <c r="P31" s="3" t="n">
        <v>40</v>
      </c>
      <c r="Q31" s="3" t="n">
        <v>45</v>
      </c>
      <c r="R31" s="3"/>
      <c r="S31" s="3" t="s">
        <v>157</v>
      </c>
      <c r="T31" s="4" t="s">
        <v>91</v>
      </c>
      <c r="U31" s="4" t="s">
        <v>158</v>
      </c>
      <c r="V31" s="4" t="s">
        <v>36</v>
      </c>
      <c r="W31" s="4" t="s">
        <v>37</v>
      </c>
      <c r="X31" s="4" t="s">
        <v>93</v>
      </c>
      <c r="Y31" s="4" t="s">
        <v>158</v>
      </c>
      <c r="Z31" s="4" t="s">
        <v>156</v>
      </c>
      <c r="AA31" s="4" t="s">
        <v>95</v>
      </c>
      <c r="AB31" s="4" t="str">
        <f aca="false">IF(OR(AA31="",C31=""),"",IF(C31="ATTACK",IF(AA31="ATTACK","TP","FN"),IF(AA31="ATTACK","FP","TN")))</f>
        <v>TP</v>
      </c>
    </row>
    <row r="32" customFormat="false" ht="15" hidden="false" customHeight="false" outlineLevel="0" collapsed="false">
      <c r="A32" s="3" t="s">
        <v>159</v>
      </c>
      <c r="B32" s="3" t="s">
        <v>160</v>
      </c>
      <c r="C32" s="3" t="s">
        <v>95</v>
      </c>
      <c r="D32" s="3" t="s">
        <v>161</v>
      </c>
      <c r="E32" s="3" t="s">
        <v>32</v>
      </c>
      <c r="F32" s="3" t="n">
        <v>16</v>
      </c>
      <c r="G32" s="3" t="s">
        <v>33</v>
      </c>
      <c r="H32" s="3" t="n">
        <v>999</v>
      </c>
      <c r="I32" s="3" t="s">
        <v>34</v>
      </c>
      <c r="J32" s="3" t="n">
        <v>1</v>
      </c>
      <c r="K32" s="3" t="n">
        <v>12</v>
      </c>
      <c r="L32" s="3" t="n">
        <v>50</v>
      </c>
      <c r="M32" s="3" t="n">
        <v>0</v>
      </c>
      <c r="N32" s="3" t="n">
        <v>45</v>
      </c>
      <c r="O32" s="3" t="n">
        <v>60</v>
      </c>
      <c r="P32" s="3" t="n">
        <v>40</v>
      </c>
      <c r="Q32" s="3" t="n">
        <v>45</v>
      </c>
      <c r="R32" s="3"/>
      <c r="S32" s="3"/>
      <c r="T32" s="4" t="s">
        <v>36</v>
      </c>
      <c r="U32" s="4" t="s">
        <v>37</v>
      </c>
      <c r="V32" s="4" t="s">
        <v>91</v>
      </c>
      <c r="W32" s="4" t="s">
        <v>162</v>
      </c>
      <c r="X32" s="4" t="s">
        <v>93</v>
      </c>
      <c r="Y32" s="4" t="s">
        <v>162</v>
      </c>
      <c r="Z32" s="4" t="s">
        <v>161</v>
      </c>
      <c r="AA32" s="4" t="s">
        <v>95</v>
      </c>
      <c r="AB32" s="4" t="str">
        <f aca="false">IF(OR(AA32="",C32=""),"",IF(C32="ATTACK",IF(AA32="ATTACK","TP","FN"),IF(AA32="ATTACK","FP","TN")))</f>
        <v>TP</v>
      </c>
    </row>
    <row r="33" customFormat="false" ht="15" hidden="false" customHeight="false" outlineLevel="0" collapsed="false">
      <c r="A33" s="3" t="s">
        <v>163</v>
      </c>
      <c r="B33" s="3" t="s">
        <v>164</v>
      </c>
      <c r="C33" s="3" t="s">
        <v>95</v>
      </c>
      <c r="D33" s="3" t="s">
        <v>161</v>
      </c>
      <c r="E33" s="3" t="s">
        <v>32</v>
      </c>
      <c r="F33" s="3" t="n">
        <v>16</v>
      </c>
      <c r="G33" s="3" t="s">
        <v>48</v>
      </c>
      <c r="H33" s="3" t="n">
        <v>180</v>
      </c>
      <c r="I33" s="3" t="s">
        <v>34</v>
      </c>
      <c r="J33" s="3" t="n">
        <v>1</v>
      </c>
      <c r="K33" s="3" t="n">
        <v>12</v>
      </c>
      <c r="L33" s="3" t="n">
        <v>50</v>
      </c>
      <c r="M33" s="3" t="n">
        <v>0</v>
      </c>
      <c r="N33" s="3" t="n">
        <v>45</v>
      </c>
      <c r="O33" s="3" t="n">
        <v>60</v>
      </c>
      <c r="P33" s="3" t="n">
        <v>40</v>
      </c>
      <c r="Q33" s="3" t="n">
        <v>45</v>
      </c>
      <c r="R33" s="3"/>
      <c r="S33" s="3"/>
      <c r="T33" s="4" t="s">
        <v>36</v>
      </c>
      <c r="U33" s="4" t="s">
        <v>37</v>
      </c>
      <c r="V33" s="4" t="s">
        <v>91</v>
      </c>
      <c r="W33" s="4" t="s">
        <v>165</v>
      </c>
      <c r="X33" s="4" t="s">
        <v>93</v>
      </c>
      <c r="Y33" s="4" t="s">
        <v>165</v>
      </c>
      <c r="Z33" s="4" t="s">
        <v>161</v>
      </c>
      <c r="AA33" s="4" t="s">
        <v>95</v>
      </c>
      <c r="AB33" s="4" t="str">
        <f aca="false">IF(OR(AA33="",C33=""),"",IF(C33="ATTACK",IF(AA33="ATTACK","TP","FN"),IF(AA33="ATTACK","FP","TN")))</f>
        <v>TP</v>
      </c>
    </row>
    <row r="34" customFormat="false" ht="15" hidden="false" customHeight="false" outlineLevel="0" collapsed="false">
      <c r="A34" s="3" t="s">
        <v>166</v>
      </c>
      <c r="B34" s="3" t="s">
        <v>167</v>
      </c>
      <c r="C34" s="3" t="s">
        <v>95</v>
      </c>
      <c r="D34" s="3" t="s">
        <v>94</v>
      </c>
      <c r="E34" s="3" t="s">
        <v>32</v>
      </c>
      <c r="F34" s="3" t="n">
        <v>16</v>
      </c>
      <c r="G34" s="3" t="s">
        <v>40</v>
      </c>
      <c r="H34" s="3" t="n">
        <v>100</v>
      </c>
      <c r="I34" s="3" t="s">
        <v>34</v>
      </c>
      <c r="J34" s="3" t="n">
        <v>1</v>
      </c>
      <c r="K34" s="3" t="n">
        <v>0.2</v>
      </c>
      <c r="L34" s="3" t="n">
        <v>50</v>
      </c>
      <c r="M34" s="3" t="n">
        <v>0</v>
      </c>
      <c r="N34" s="3" t="n">
        <v>45</v>
      </c>
      <c r="O34" s="3" t="n">
        <v>60</v>
      </c>
      <c r="P34" s="3" t="n">
        <v>40</v>
      </c>
      <c r="Q34" s="3" t="n">
        <v>45</v>
      </c>
      <c r="R34" s="3"/>
      <c r="S34" s="3" t="s">
        <v>168</v>
      </c>
      <c r="T34" s="4" t="s">
        <v>36</v>
      </c>
      <c r="U34" s="4" t="s">
        <v>37</v>
      </c>
      <c r="V34" s="4" t="s">
        <v>91</v>
      </c>
      <c r="W34" s="4" t="s">
        <v>169</v>
      </c>
      <c r="X34" s="4" t="s">
        <v>93</v>
      </c>
      <c r="Y34" s="4" t="s">
        <v>169</v>
      </c>
      <c r="Z34" s="4" t="s">
        <v>94</v>
      </c>
      <c r="AA34" s="4" t="s">
        <v>95</v>
      </c>
      <c r="AB34" s="4" t="str">
        <f aca="false">IF(OR(AA34="",C34=""),"",IF(C34="ATTACK",IF(AA34="ATTACK","TP","FN"),IF(AA34="ATTACK","FP","TN")))</f>
        <v>TP</v>
      </c>
    </row>
    <row r="35" customFormat="false" ht="15" hidden="false" customHeight="false" outlineLevel="0" collapsed="false">
      <c r="A35" s="3" t="s">
        <v>170</v>
      </c>
      <c r="B35" s="3" t="s">
        <v>171</v>
      </c>
      <c r="C35" s="3" t="s">
        <v>95</v>
      </c>
      <c r="D35" s="3" t="s">
        <v>172</v>
      </c>
      <c r="E35" s="3" t="s">
        <v>32</v>
      </c>
      <c r="F35" s="3" t="n">
        <v>16</v>
      </c>
      <c r="G35" s="3" t="s">
        <v>48</v>
      </c>
      <c r="H35" s="3" t="n">
        <v>112</v>
      </c>
      <c r="I35" s="3" t="s">
        <v>34</v>
      </c>
      <c r="J35" s="3" t="n">
        <v>1</v>
      </c>
      <c r="K35" s="3" t="n">
        <v>10</v>
      </c>
      <c r="L35" s="3" t="n">
        <v>50</v>
      </c>
      <c r="M35" s="3" t="n">
        <v>0</v>
      </c>
      <c r="N35" s="3" t="n">
        <v>20</v>
      </c>
      <c r="O35" s="3" t="n">
        <v>102</v>
      </c>
      <c r="P35" s="3" t="n">
        <v>40</v>
      </c>
      <c r="Q35" s="3" t="n">
        <v>45</v>
      </c>
      <c r="R35" s="3"/>
      <c r="S35" s="3" t="s">
        <v>173</v>
      </c>
      <c r="T35" s="4" t="s">
        <v>36</v>
      </c>
      <c r="U35" s="4" t="s">
        <v>37</v>
      </c>
      <c r="V35" s="4" t="s">
        <v>91</v>
      </c>
      <c r="W35" s="4" t="s">
        <v>174</v>
      </c>
      <c r="X35" s="4" t="s">
        <v>93</v>
      </c>
      <c r="Y35" s="4" t="s">
        <v>174</v>
      </c>
      <c r="Z35" s="4" t="s">
        <v>172</v>
      </c>
      <c r="AA35" s="4" t="s">
        <v>95</v>
      </c>
      <c r="AB35" s="4" t="str">
        <f aca="false">IF(OR(AA35="",C35=""),"",IF(C35="ATTACK",IF(AA35="ATTACK","TP","FN"),IF(AA35="ATTACK","FP","TN")))</f>
        <v>TP</v>
      </c>
    </row>
    <row r="36" customFormat="false" ht="15" hidden="false" customHeight="false" outlineLevel="0" collapsed="false">
      <c r="A36" s="3" t="s">
        <v>175</v>
      </c>
      <c r="B36" s="3" t="s">
        <v>176</v>
      </c>
      <c r="C36" s="3" t="s">
        <v>95</v>
      </c>
      <c r="D36" s="3" t="s">
        <v>172</v>
      </c>
      <c r="E36" s="3" t="s">
        <v>32</v>
      </c>
      <c r="F36" s="3" t="n">
        <v>16</v>
      </c>
      <c r="G36" s="3" t="s">
        <v>44</v>
      </c>
      <c r="H36" s="3" t="n">
        <v>24</v>
      </c>
      <c r="I36" s="3" t="s">
        <v>34</v>
      </c>
      <c r="J36" s="3" t="n">
        <v>1</v>
      </c>
      <c r="K36" s="3" t="n">
        <v>10</v>
      </c>
      <c r="L36" s="3" t="n">
        <v>50</v>
      </c>
      <c r="M36" s="3" t="n">
        <v>0</v>
      </c>
      <c r="N36" s="3" t="n">
        <v>30</v>
      </c>
      <c r="O36" s="3" t="n">
        <v>115</v>
      </c>
      <c r="P36" s="3" t="n">
        <v>40</v>
      </c>
      <c r="Q36" s="3" t="n">
        <v>45</v>
      </c>
      <c r="R36" s="3"/>
      <c r="S36" s="3"/>
      <c r="T36" s="4" t="s">
        <v>36</v>
      </c>
      <c r="U36" s="4" t="s">
        <v>37</v>
      </c>
      <c r="V36" s="4" t="s">
        <v>91</v>
      </c>
      <c r="W36" s="4" t="s">
        <v>177</v>
      </c>
      <c r="X36" s="4" t="s">
        <v>93</v>
      </c>
      <c r="Y36" s="4" t="s">
        <v>177</v>
      </c>
      <c r="Z36" s="4" t="s">
        <v>172</v>
      </c>
      <c r="AA36" s="4" t="s">
        <v>95</v>
      </c>
      <c r="AB36" s="4" t="str">
        <f aca="false">IF(OR(AA36="",C36=""),"",IF(C36="ATTACK",IF(AA36="ATTACK","TP","FN"),IF(AA36="ATTACK","FP","TN")))</f>
        <v>TP</v>
      </c>
    </row>
    <row r="37" customFormat="false" ht="15" hidden="false" customHeight="false" outlineLevel="0" collapsed="false">
      <c r="A37" s="3" t="s">
        <v>178</v>
      </c>
      <c r="B37" s="3" t="s">
        <v>179</v>
      </c>
      <c r="C37" s="3" t="s">
        <v>95</v>
      </c>
      <c r="D37" s="3" t="s">
        <v>172</v>
      </c>
      <c r="E37" s="3" t="s">
        <v>32</v>
      </c>
      <c r="F37" s="3" t="n">
        <v>16</v>
      </c>
      <c r="G37" s="3" t="s">
        <v>52</v>
      </c>
      <c r="H37" s="3" t="n">
        <v>75</v>
      </c>
      <c r="I37" s="3" t="s">
        <v>34</v>
      </c>
      <c r="J37" s="3" t="n">
        <v>1</v>
      </c>
      <c r="K37" s="3" t="n">
        <v>10</v>
      </c>
      <c r="L37" s="3" t="n">
        <v>50</v>
      </c>
      <c r="M37" s="3" t="n">
        <v>0</v>
      </c>
      <c r="N37" s="3" t="n">
        <v>45</v>
      </c>
      <c r="O37" s="3" t="n">
        <v>60</v>
      </c>
      <c r="P37" s="3" t="n">
        <v>65</v>
      </c>
      <c r="Q37" s="3" t="n">
        <v>10</v>
      </c>
      <c r="R37" s="3"/>
      <c r="S37" s="3"/>
      <c r="T37" s="4" t="s">
        <v>36</v>
      </c>
      <c r="U37" s="4" t="s">
        <v>37</v>
      </c>
      <c r="V37" s="4" t="s">
        <v>91</v>
      </c>
      <c r="W37" s="4" t="s">
        <v>180</v>
      </c>
      <c r="X37" s="4" t="s">
        <v>93</v>
      </c>
      <c r="Y37" s="4" t="s">
        <v>180</v>
      </c>
      <c r="Z37" s="4" t="s">
        <v>172</v>
      </c>
      <c r="AA37" s="4" t="s">
        <v>95</v>
      </c>
      <c r="AB37" s="4" t="str">
        <f aca="false">IF(OR(AA37="",C37=""),"",IF(C37="ATTACK",IF(AA37="ATTACK","TP","FN"),IF(AA37="ATTACK","FP","TN")))</f>
        <v>TP</v>
      </c>
    </row>
    <row r="38" customFormat="false" ht="15" hidden="false" customHeight="false" outlineLevel="0" collapsed="false">
      <c r="A38" s="3" t="s">
        <v>181</v>
      </c>
      <c r="B38" s="3" t="s">
        <v>182</v>
      </c>
      <c r="C38" s="3" t="s">
        <v>95</v>
      </c>
      <c r="D38" s="3" t="s">
        <v>172</v>
      </c>
      <c r="E38" s="3" t="s">
        <v>32</v>
      </c>
      <c r="F38" s="3" t="n">
        <v>16</v>
      </c>
      <c r="G38" s="3" t="s">
        <v>52</v>
      </c>
      <c r="H38" s="3" t="n">
        <v>75</v>
      </c>
      <c r="I38" s="3" t="s">
        <v>34</v>
      </c>
      <c r="J38" s="3" t="n">
        <v>1</v>
      </c>
      <c r="K38" s="3" t="n">
        <v>10</v>
      </c>
      <c r="L38" s="3" t="n">
        <v>50</v>
      </c>
      <c r="M38" s="3" t="n">
        <v>0</v>
      </c>
      <c r="N38" s="3" t="n">
        <v>45</v>
      </c>
      <c r="O38" s="3" t="n">
        <v>60</v>
      </c>
      <c r="P38" s="3" t="n">
        <v>65</v>
      </c>
      <c r="Q38" s="3" t="n">
        <v>40</v>
      </c>
      <c r="R38" s="3" t="s">
        <v>183</v>
      </c>
      <c r="S38" s="3" t="s">
        <v>184</v>
      </c>
      <c r="T38" s="4" t="s">
        <v>36</v>
      </c>
      <c r="U38" s="4" t="s">
        <v>37</v>
      </c>
      <c r="V38" s="4" t="s">
        <v>91</v>
      </c>
      <c r="W38" s="4" t="s">
        <v>180</v>
      </c>
      <c r="X38" s="4" t="s">
        <v>93</v>
      </c>
      <c r="Y38" s="4" t="s">
        <v>180</v>
      </c>
      <c r="Z38" s="4" t="s">
        <v>172</v>
      </c>
      <c r="AA38" s="4" t="s">
        <v>95</v>
      </c>
      <c r="AB38" s="4" t="str">
        <f aca="false">IF(OR(AA38="",C38=""),"",IF(C38="ATTACK",IF(AA38="ATTACK","TP","FN"),IF(AA38="ATTACK","FP","TN")))</f>
        <v>TP</v>
      </c>
    </row>
    <row r="39" customFormat="false" ht="15" hidden="false" customHeight="false" outlineLevel="0" collapsed="false">
      <c r="A39" s="3" t="s">
        <v>185</v>
      </c>
      <c r="B39" s="3" t="s">
        <v>186</v>
      </c>
      <c r="C39" s="3" t="s">
        <v>95</v>
      </c>
      <c r="D39" s="3" t="s">
        <v>172</v>
      </c>
      <c r="E39" s="3" t="s">
        <v>32</v>
      </c>
      <c r="F39" s="3" t="n">
        <v>16</v>
      </c>
      <c r="G39" s="3" t="s">
        <v>33</v>
      </c>
      <c r="H39" s="3" t="n">
        <v>86</v>
      </c>
      <c r="I39" s="3" t="s">
        <v>34</v>
      </c>
      <c r="J39" s="3" t="n">
        <v>1</v>
      </c>
      <c r="K39" s="3" t="n">
        <v>5</v>
      </c>
      <c r="L39" s="3" t="n">
        <v>80</v>
      </c>
      <c r="M39" s="3" t="n">
        <v>0</v>
      </c>
      <c r="N39" s="3" t="n">
        <v>45</v>
      </c>
      <c r="O39" s="3" t="n">
        <v>130</v>
      </c>
      <c r="P39" s="3" t="n">
        <v>40</v>
      </c>
      <c r="Q39" s="3" t="n">
        <v>45</v>
      </c>
      <c r="R39" s="3"/>
      <c r="S39" s="3"/>
      <c r="T39" s="4" t="s">
        <v>36</v>
      </c>
      <c r="U39" s="4" t="s">
        <v>37</v>
      </c>
      <c r="V39" s="4" t="s">
        <v>91</v>
      </c>
      <c r="W39" s="4" t="s">
        <v>187</v>
      </c>
      <c r="X39" s="4" t="s">
        <v>93</v>
      </c>
      <c r="Y39" s="4" t="s">
        <v>187</v>
      </c>
      <c r="Z39" s="4" t="s">
        <v>172</v>
      </c>
      <c r="AA39" s="4" t="s">
        <v>95</v>
      </c>
      <c r="AB39" s="4" t="str">
        <f aca="false">IF(OR(AA39="",C39=""),"",IF(C39="ATTACK",IF(AA39="ATTACK","TP","FN"),IF(AA39="ATTACK","FP","TN")))</f>
        <v>TP</v>
      </c>
    </row>
    <row r="40" customFormat="false" ht="15" hidden="false" customHeight="false" outlineLevel="0" collapsed="false">
      <c r="A40" s="3" t="s">
        <v>188</v>
      </c>
      <c r="B40" s="3" t="s">
        <v>189</v>
      </c>
      <c r="C40" s="3" t="s">
        <v>95</v>
      </c>
      <c r="D40" s="3" t="s">
        <v>172</v>
      </c>
      <c r="E40" s="3" t="s">
        <v>32</v>
      </c>
      <c r="F40" s="3" t="n">
        <v>16</v>
      </c>
      <c r="G40" s="3" t="s">
        <v>44</v>
      </c>
      <c r="H40" s="3" t="n">
        <v>30</v>
      </c>
      <c r="I40" s="3" t="s">
        <v>34</v>
      </c>
      <c r="J40" s="3" t="n">
        <v>1</v>
      </c>
      <c r="K40" s="3" t="n">
        <v>10</v>
      </c>
      <c r="L40" s="3" t="n">
        <v>8</v>
      </c>
      <c r="M40" s="3" t="n">
        <v>0</v>
      </c>
      <c r="N40" s="3" t="n">
        <v>60</v>
      </c>
      <c r="O40" s="3" t="n">
        <v>60</v>
      </c>
      <c r="P40" s="3" t="n">
        <v>40</v>
      </c>
      <c r="Q40" s="3" t="n">
        <v>45</v>
      </c>
      <c r="R40" s="3"/>
      <c r="S40" s="3"/>
      <c r="T40" s="4" t="s">
        <v>36</v>
      </c>
      <c r="U40" s="4" t="s">
        <v>37</v>
      </c>
      <c r="V40" s="4" t="s">
        <v>91</v>
      </c>
      <c r="W40" s="4" t="s">
        <v>190</v>
      </c>
      <c r="X40" s="4" t="s">
        <v>93</v>
      </c>
      <c r="Y40" s="4" t="s">
        <v>190</v>
      </c>
      <c r="Z40" s="4" t="s">
        <v>172</v>
      </c>
      <c r="AA40" s="4" t="s">
        <v>95</v>
      </c>
      <c r="AB40" s="4" t="str">
        <f aca="false">IF(OR(AA40="",C40=""),"",IF(C40="ATTACK",IF(AA40="ATTACK","TP","FN"),IF(AA40="ATTACK","FP","TN")))</f>
        <v>TP</v>
      </c>
    </row>
    <row r="41" customFormat="false" ht="15" hidden="false" customHeight="false" outlineLevel="0" collapsed="false">
      <c r="A41" s="3" t="s">
        <v>191</v>
      </c>
      <c r="B41" s="3" t="s">
        <v>192</v>
      </c>
      <c r="C41" s="3" t="s">
        <v>95</v>
      </c>
      <c r="D41" s="3" t="s">
        <v>172</v>
      </c>
      <c r="E41" s="3" t="s">
        <v>32</v>
      </c>
      <c r="F41" s="3" t="n">
        <v>16</v>
      </c>
      <c r="G41" s="3" t="s">
        <v>40</v>
      </c>
      <c r="H41" s="3" t="n">
        <v>110</v>
      </c>
      <c r="I41" s="3" t="s">
        <v>34</v>
      </c>
      <c r="J41" s="3" t="n">
        <v>1</v>
      </c>
      <c r="K41" s="3" t="n">
        <v>5</v>
      </c>
      <c r="L41" s="3" t="n">
        <v>95</v>
      </c>
      <c r="M41" s="3" t="n">
        <v>100</v>
      </c>
      <c r="N41" s="3" t="n">
        <v>45</v>
      </c>
      <c r="O41" s="3" t="n">
        <v>60</v>
      </c>
      <c r="P41" s="3" t="n">
        <v>40</v>
      </c>
      <c r="Q41" s="3" t="n">
        <v>45</v>
      </c>
      <c r="R41" s="3"/>
      <c r="S41" s="3"/>
      <c r="T41" s="4" t="s">
        <v>36</v>
      </c>
      <c r="U41" s="4" t="s">
        <v>37</v>
      </c>
      <c r="V41" s="4" t="s">
        <v>91</v>
      </c>
      <c r="W41" s="4" t="s">
        <v>193</v>
      </c>
      <c r="X41" s="4" t="s">
        <v>93</v>
      </c>
      <c r="Y41" s="4" t="s">
        <v>193</v>
      </c>
      <c r="Z41" s="4" t="s">
        <v>172</v>
      </c>
      <c r="AA41" s="4" t="s">
        <v>95</v>
      </c>
      <c r="AB41" s="4" t="str">
        <f aca="false">IF(OR(AA41="",C41=""),"",IF(C41="ATTACK",IF(AA41="ATTACK","TP","FN"),IF(AA41="ATTACK","FP","TN")))</f>
        <v>TP</v>
      </c>
    </row>
    <row r="42" customFormat="false" ht="15" hidden="false" customHeight="false" outlineLevel="0" collapsed="false">
      <c r="A42" s="3" t="s">
        <v>194</v>
      </c>
      <c r="B42" s="3" t="s">
        <v>195</v>
      </c>
      <c r="C42" s="3" t="s">
        <v>95</v>
      </c>
      <c r="D42" s="3" t="s">
        <v>196</v>
      </c>
      <c r="E42" s="3" t="s">
        <v>32</v>
      </c>
      <c r="F42" s="3" t="n">
        <v>16</v>
      </c>
      <c r="G42" s="3" t="s">
        <v>40</v>
      </c>
      <c r="H42" s="3" t="n">
        <v>90</v>
      </c>
      <c r="I42" s="3" t="s">
        <v>34</v>
      </c>
      <c r="J42" s="3" t="n">
        <v>1</v>
      </c>
      <c r="K42" s="3" t="n">
        <v>5</v>
      </c>
      <c r="L42" s="3" t="n">
        <v>50</v>
      </c>
      <c r="M42" s="3" t="n">
        <v>80</v>
      </c>
      <c r="N42" s="3" t="n">
        <v>45</v>
      </c>
      <c r="O42" s="3" t="n">
        <v>60</v>
      </c>
      <c r="P42" s="3" t="n">
        <v>40</v>
      </c>
      <c r="Q42" s="3" t="n">
        <v>45</v>
      </c>
      <c r="R42" s="3"/>
      <c r="S42" s="3" t="s">
        <v>197</v>
      </c>
      <c r="T42" s="4" t="s">
        <v>36</v>
      </c>
      <c r="U42" s="4" t="s">
        <v>37</v>
      </c>
      <c r="V42" s="4" t="s">
        <v>36</v>
      </c>
      <c r="W42" s="4" t="s">
        <v>37</v>
      </c>
      <c r="X42" s="4" t="s">
        <v>36</v>
      </c>
      <c r="Y42" s="4" t="s">
        <v>37</v>
      </c>
      <c r="Z42" s="4" t="s">
        <v>31</v>
      </c>
      <c r="AA42" s="4" t="s">
        <v>30</v>
      </c>
      <c r="AB42" s="4" t="str">
        <f aca="false">IF(OR(AA42="",C42=""),"",IF(C42="ATTACK",IF(AA42="ATTACK","TP","FN"),IF(AA42="ATTACK","FP","TN")))</f>
        <v>FN</v>
      </c>
    </row>
    <row r="43" customFormat="false" ht="15" hidden="false" customHeight="false" outlineLevel="0" collapsed="false">
      <c r="A43" s="3" t="s">
        <v>198</v>
      </c>
      <c r="B43" s="3" t="s">
        <v>199</v>
      </c>
      <c r="C43" s="3" t="s">
        <v>95</v>
      </c>
      <c r="D43" s="3" t="s">
        <v>172</v>
      </c>
      <c r="E43" s="3" t="s">
        <v>32</v>
      </c>
      <c r="F43" s="3" t="n">
        <v>16</v>
      </c>
      <c r="G43" s="3" t="s">
        <v>48</v>
      </c>
      <c r="H43" s="3" t="n">
        <v>70</v>
      </c>
      <c r="I43" s="3" t="s">
        <v>34</v>
      </c>
      <c r="J43" s="3" t="n">
        <v>1</v>
      </c>
      <c r="K43" s="3" t="n">
        <v>10</v>
      </c>
      <c r="L43" s="3" t="n">
        <v>50</v>
      </c>
      <c r="M43" s="3" t="n">
        <v>0</v>
      </c>
      <c r="N43" s="3" t="n">
        <v>20</v>
      </c>
      <c r="O43" s="3" t="n">
        <v>60</v>
      </c>
      <c r="P43" s="3" t="n">
        <v>40</v>
      </c>
      <c r="Q43" s="3" t="n">
        <v>45</v>
      </c>
      <c r="R43" s="3"/>
      <c r="S43" s="3" t="s">
        <v>200</v>
      </c>
      <c r="T43" s="4" t="s">
        <v>36</v>
      </c>
      <c r="U43" s="4" t="s">
        <v>37</v>
      </c>
      <c r="V43" s="4" t="s">
        <v>36</v>
      </c>
      <c r="W43" s="4" t="s">
        <v>37</v>
      </c>
      <c r="X43" s="4" t="s">
        <v>36</v>
      </c>
      <c r="Y43" s="4" t="s">
        <v>37</v>
      </c>
      <c r="Z43" s="4" t="s">
        <v>31</v>
      </c>
      <c r="AA43" s="4" t="s">
        <v>30</v>
      </c>
      <c r="AB43" s="4" t="str">
        <f aca="false">IF(OR(AA43="",C43=""),"",IF(C43="ATTACK",IF(AA43="ATTACK","TP","FN"),IF(AA43="ATTACK","FP","TN")))</f>
        <v>FN</v>
      </c>
    </row>
  </sheetData>
  <dataValidations count="2">
    <dataValidation allowBlank="false" errorStyle="stop" operator="between" showDropDown="false" showErrorMessage="false" showInputMessage="false" sqref="C2:C243" type="list">
      <formula1>"NORMAL,ATTACK"</formula1>
      <formula2>0</formula2>
    </dataValidation>
    <dataValidation allowBlank="false" errorStyle="stop" operator="between" showDropDown="false" showErrorMessage="false" showInputMessage="false" sqref="I2:I243" type="list">
      <formula1>"valid,missing,tampered,wrong_key,expired,replayed,malformed"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201</v>
      </c>
    </row>
    <row r="2" customFormat="false" ht="15" hidden="false" customHeight="false" outlineLevel="0" collapsed="false">
      <c r="A2" s="6" t="s">
        <v>202</v>
      </c>
    </row>
    <row r="4" customFormat="false" ht="26.85" hidden="false" customHeight="false" outlineLevel="0" collapsed="false">
      <c r="A4" s="7" t="s">
        <v>203</v>
      </c>
      <c r="B4" s="7" t="s">
        <v>204</v>
      </c>
      <c r="C4" s="7" t="s">
        <v>205</v>
      </c>
      <c r="D4" s="7" t="s">
        <v>206</v>
      </c>
      <c r="E4" s="7" t="s">
        <v>207</v>
      </c>
    </row>
    <row r="5" customFormat="false" ht="15" hidden="false" customHeight="false" outlineLevel="0" collapsed="false">
      <c r="A5" s="8" t="s">
        <v>208</v>
      </c>
      <c r="B5" s="9" t="n">
        <f aca="false">COUNTIF(TestCases!$C$2:$C$43,"ATTACK")+COUNTIF(TestCases!$C$2:$C$43,"NORMAL")</f>
        <v>42</v>
      </c>
      <c r="C5" s="9" t="n">
        <v>42</v>
      </c>
      <c r="D5" s="10" t="str">
        <f aca="false">IF(ABS(B5-C5)&lt;0.000001,"OK","MISMATCH")</f>
        <v>OK</v>
      </c>
      <c r="E5" s="11" t="s">
        <v>209</v>
      </c>
    </row>
    <row r="6" customFormat="false" ht="15" hidden="false" customHeight="false" outlineLevel="0" collapsed="false">
      <c r="A6" s="8" t="s">
        <v>210</v>
      </c>
      <c r="B6" s="9" t="n">
        <f aca="false">COUNTIF(TestCases!$C$2:$C$43,"ATTACK")</f>
        <v>22</v>
      </c>
      <c r="C6" s="9" t="n">
        <v>22</v>
      </c>
      <c r="D6" s="10" t="str">
        <f aca="false">IF(ABS(B6-C6)&lt;0.000001,"OK","MISMATCH")</f>
        <v>OK</v>
      </c>
      <c r="E6" s="11" t="s">
        <v>211</v>
      </c>
    </row>
    <row r="7" customFormat="false" ht="15" hidden="false" customHeight="false" outlineLevel="0" collapsed="false">
      <c r="A7" s="8" t="s">
        <v>212</v>
      </c>
      <c r="B7" s="9" t="n">
        <f aca="false">COUNTIF(TestCases!$C$2:$C$43,"NORMAL")</f>
        <v>20</v>
      </c>
      <c r="C7" s="9" t="n">
        <v>20</v>
      </c>
      <c r="D7" s="10" t="str">
        <f aca="false">IF(ABS(B7-C7)&lt;0.000001,"OK","MISMATCH")</f>
        <v>OK</v>
      </c>
      <c r="E7" s="11" t="s">
        <v>213</v>
      </c>
    </row>
    <row r="8" customFormat="false" ht="15" hidden="false" customHeight="false" outlineLevel="0" collapsed="false">
      <c r="A8" s="8" t="s">
        <v>214</v>
      </c>
      <c r="B8" s="9" t="n">
        <f aca="false">COUNTIFS(TestCases!$C$2:$C$43,"ATTACK",TestCases!$AA$2:$AA$43,"ATTACK")</f>
        <v>20</v>
      </c>
      <c r="C8" s="9" t="n">
        <v>20</v>
      </c>
      <c r="D8" s="10" t="str">
        <f aca="false">IF(ABS(B8-C8)&lt;0.000001,"OK","MISMATCH")</f>
        <v>OK</v>
      </c>
      <c r="E8" s="11" t="s">
        <v>215</v>
      </c>
    </row>
    <row r="9" customFormat="false" ht="15" hidden="false" customHeight="false" outlineLevel="0" collapsed="false">
      <c r="A9" s="8" t="s">
        <v>216</v>
      </c>
      <c r="B9" s="9" t="n">
        <f aca="false">COUNTIFS(TestCases!$C$2:$C$43,"NORMAL",TestCases!$AA$2:$AA$43,"NORMAL")</f>
        <v>19</v>
      </c>
      <c r="C9" s="9" t="n">
        <v>19</v>
      </c>
      <c r="D9" s="10" t="str">
        <f aca="false">IF(ABS(B9-C9)&lt;0.000001,"OK","MISMATCH")</f>
        <v>OK</v>
      </c>
      <c r="E9" s="11" t="s">
        <v>217</v>
      </c>
    </row>
    <row r="10" customFormat="false" ht="15" hidden="false" customHeight="false" outlineLevel="0" collapsed="false">
      <c r="A10" s="8" t="s">
        <v>218</v>
      </c>
      <c r="B10" s="9" t="n">
        <f aca="false">COUNTIFS(TestCases!$C$2:$C$43,"NORMAL",TestCases!$AA$2:$AA$43,"ATTACK")</f>
        <v>1</v>
      </c>
      <c r="C10" s="9" t="n">
        <v>1</v>
      </c>
      <c r="D10" s="10" t="str">
        <f aca="false">IF(ABS(B10-C10)&lt;0.000001,"OK","MISMATCH")</f>
        <v>OK</v>
      </c>
      <c r="E10" s="11" t="s">
        <v>219</v>
      </c>
    </row>
    <row r="11" customFormat="false" ht="15" hidden="false" customHeight="false" outlineLevel="0" collapsed="false">
      <c r="A11" s="8" t="s">
        <v>220</v>
      </c>
      <c r="B11" s="9" t="n">
        <f aca="false">COUNTIFS(TestCases!$C$2:$C$43,"ATTACK",TestCases!$AA$2:$AA$43,"NORMAL")</f>
        <v>2</v>
      </c>
      <c r="C11" s="9" t="n">
        <v>2</v>
      </c>
      <c r="D11" s="10" t="str">
        <f aca="false">IF(ABS(B11-C11)&lt;0.000001,"OK","MISMATCH")</f>
        <v>OK</v>
      </c>
      <c r="E11" s="11" t="s">
        <v>221</v>
      </c>
    </row>
    <row r="12" customFormat="false" ht="15" hidden="false" customHeight="false" outlineLevel="0" collapsed="false">
      <c r="A12" s="8" t="s">
        <v>222</v>
      </c>
      <c r="B12" s="12" t="n">
        <f aca="false">IFERROR((B8+B9)/(B8+B9+B10+B11),0)</f>
        <v>0.928571428571429</v>
      </c>
      <c r="C12" s="12" t="n">
        <v>0.928571428571429</v>
      </c>
      <c r="D12" s="10" t="str">
        <f aca="false">IF(ABS(B12-C12)&lt;0.000001,"OK","MISMATCH")</f>
        <v>OK</v>
      </c>
      <c r="E12" s="11" t="s">
        <v>223</v>
      </c>
    </row>
    <row r="13" customFormat="false" ht="15" hidden="false" customHeight="false" outlineLevel="0" collapsed="false">
      <c r="A13" s="8" t="s">
        <v>224</v>
      </c>
      <c r="B13" s="12" t="n">
        <f aca="false">IFERROR(B8/(B8+B10),0)</f>
        <v>0.952380952380952</v>
      </c>
      <c r="C13" s="12" t="n">
        <v>0.952380952380952</v>
      </c>
      <c r="D13" s="10" t="str">
        <f aca="false">IF(ABS(B13-C13)&lt;0.000001,"OK","MISMATCH")</f>
        <v>OK</v>
      </c>
      <c r="E13" s="11" t="s">
        <v>225</v>
      </c>
    </row>
    <row r="14" customFormat="false" ht="15" hidden="false" customHeight="false" outlineLevel="0" collapsed="false">
      <c r="A14" s="8" t="s">
        <v>226</v>
      </c>
      <c r="B14" s="12" t="n">
        <f aca="false">IFERROR(B8/(B8+B11),0)</f>
        <v>0.909090909090909</v>
      </c>
      <c r="C14" s="12" t="n">
        <v>0.909090909090909</v>
      </c>
      <c r="D14" s="10" t="str">
        <f aca="false">IF(ABS(B14-C14)&lt;0.000001,"OK","MISMATCH")</f>
        <v>OK</v>
      </c>
      <c r="E14" s="11" t="s">
        <v>227</v>
      </c>
    </row>
    <row r="15" customFormat="false" ht="15" hidden="false" customHeight="false" outlineLevel="0" collapsed="false">
      <c r="A15" s="8" t="s">
        <v>228</v>
      </c>
      <c r="B15" s="12" t="n">
        <f aca="false">IFERROR(2*B13*B14/(B13+B14),0)</f>
        <v>0.930232558139535</v>
      </c>
      <c r="C15" s="12" t="n">
        <v>0.930232558139535</v>
      </c>
      <c r="D15" s="10" t="str">
        <f aca="false">IF(ABS(B15-C15)&lt;0.000001,"OK","MISMATCH")</f>
        <v>OK</v>
      </c>
      <c r="E15" s="11" t="s">
        <v>229</v>
      </c>
    </row>
    <row r="16" customFormat="false" ht="15" hidden="false" customHeight="false" outlineLevel="0" collapsed="false">
      <c r="A16" s="8" t="s">
        <v>230</v>
      </c>
      <c r="B16" s="12" t="n">
        <f aca="false">IFERROR(B8/(B8+B11),0)</f>
        <v>0.909090909090909</v>
      </c>
      <c r="C16" s="12" t="n">
        <v>0.909090909090909</v>
      </c>
      <c r="D16" s="10" t="str">
        <f aca="false">IF(ABS(B16-C16)&lt;0.000001,"OK","MISMATCH")</f>
        <v>OK</v>
      </c>
      <c r="E16" s="11" t="s">
        <v>231</v>
      </c>
    </row>
    <row r="17" customFormat="false" ht="15" hidden="false" customHeight="false" outlineLevel="0" collapsed="false">
      <c r="A17" s="8" t="s">
        <v>232</v>
      </c>
      <c r="B17" s="12" t="n">
        <f aca="false">IFERROR(B10/(B10+B9),0)</f>
        <v>0.05</v>
      </c>
      <c r="C17" s="12" t="n">
        <v>0.05</v>
      </c>
      <c r="D17" s="10" t="str">
        <f aca="false">IF(ABS(B17-C17)&lt;0.000001,"OK","MISMATCH")</f>
        <v>OK</v>
      </c>
      <c r="E17" s="11" t="s">
        <v>233</v>
      </c>
    </row>
    <row r="18" customFormat="false" ht="15" hidden="false" customHeight="false" outlineLevel="0" collapsed="false">
      <c r="A18" s="8" t="s">
        <v>234</v>
      </c>
      <c r="B18" s="12" t="n">
        <f aca="false">IFERROR(B9/(B9+B10),0)</f>
        <v>0.95</v>
      </c>
      <c r="C18" s="12" t="n">
        <v>0.95</v>
      </c>
      <c r="D18" s="10" t="str">
        <f aca="false">IF(ABS(B18-C18)&lt;0.000001,"OK","MISMATCH")</f>
        <v>OK</v>
      </c>
      <c r="E18" s="11" t="s">
        <v>235</v>
      </c>
    </row>
    <row r="20" customFormat="false" ht="15" hidden="false" customHeight="false" outlineLevel="0" collapsed="false">
      <c r="A20" s="13" t="s">
        <v>236</v>
      </c>
    </row>
    <row r="21" customFormat="false" ht="26.85" hidden="false" customHeight="false" outlineLevel="0" collapsed="false">
      <c r="A21" s="7" t="s">
        <v>3</v>
      </c>
      <c r="B21" s="7" t="s">
        <v>237</v>
      </c>
      <c r="C21" s="7" t="s">
        <v>238</v>
      </c>
      <c r="D21" s="7" t="s">
        <v>230</v>
      </c>
    </row>
    <row r="22" customFormat="false" ht="15" hidden="false" customHeight="false" outlineLevel="0" collapsed="false">
      <c r="A22" s="10" t="s">
        <v>172</v>
      </c>
      <c r="B22" s="10" t="n">
        <f aca="false">COUNTIFS(TestCases!$D$2:$D$43,A22,TestCases!$C$2:$C$43,"ATTACK")</f>
        <v>8</v>
      </c>
      <c r="C22" s="10" t="n">
        <f aca="false">COUNTIFS(TestCases!$D$2:$D$43,A22,TestCases!$C$2:$C$43,"ATTACK",TestCases!$AA$2:$AA$43,"ATTACK")</f>
        <v>7</v>
      </c>
      <c r="D22" s="12" t="n">
        <f aca="false">IFERROR(C22/B22,0)</f>
        <v>0.875</v>
      </c>
    </row>
    <row r="23" customFormat="false" ht="15" hidden="false" customHeight="false" outlineLevel="0" collapsed="false">
      <c r="A23" s="10" t="s">
        <v>120</v>
      </c>
      <c r="B23" s="10" t="n">
        <f aca="false">COUNTIFS(TestCases!$D$2:$D$43,A23,TestCases!$C$2:$C$43,"ATTACK")</f>
        <v>1</v>
      </c>
      <c r="C23" s="10" t="n">
        <f aca="false">COUNTIFS(TestCases!$D$2:$D$43,A23,TestCases!$C$2:$C$43,"ATTACK",TestCases!$AA$2:$AA$43,"ATTACK")</f>
        <v>1</v>
      </c>
      <c r="D23" s="12" t="n">
        <f aca="false">IFERROR(C23/B23,0)</f>
        <v>1</v>
      </c>
    </row>
    <row r="24" customFormat="false" ht="15" hidden="false" customHeight="false" outlineLevel="0" collapsed="false">
      <c r="A24" s="10" t="s">
        <v>156</v>
      </c>
      <c r="B24" s="10" t="n">
        <f aca="false">COUNTIFS(TestCases!$D$2:$D$43,A24,TestCases!$C$2:$C$43,"ATTACK")</f>
        <v>1</v>
      </c>
      <c r="C24" s="10" t="n">
        <f aca="false">COUNTIFS(TestCases!$D$2:$D$43,A24,TestCases!$C$2:$C$43,"ATTACK",TestCases!$AA$2:$AA$43,"ATTACK")</f>
        <v>1</v>
      </c>
      <c r="D24" s="12" t="n">
        <f aca="false">IFERROR(C24/B24,0)</f>
        <v>1</v>
      </c>
    </row>
    <row r="25" customFormat="false" ht="15" hidden="false" customHeight="false" outlineLevel="0" collapsed="false">
      <c r="A25" s="10" t="s">
        <v>161</v>
      </c>
      <c r="B25" s="10" t="n">
        <f aca="false">COUNTIFS(TestCases!$D$2:$D$43,A25,TestCases!$C$2:$C$43,"ATTACK")</f>
        <v>2</v>
      </c>
      <c r="C25" s="10" t="n">
        <f aca="false">COUNTIFS(TestCases!$D$2:$D$43,A25,TestCases!$C$2:$C$43,"ATTACK",TestCases!$AA$2:$AA$43,"ATTACK")</f>
        <v>2</v>
      </c>
      <c r="D25" s="12" t="n">
        <f aca="false">IFERROR(C25/B25,0)</f>
        <v>1</v>
      </c>
    </row>
    <row r="26" customFormat="false" ht="15" hidden="false" customHeight="false" outlineLevel="0" collapsed="false">
      <c r="A26" s="10" t="s">
        <v>151</v>
      </c>
      <c r="B26" s="10" t="n">
        <f aca="false">COUNTIFS(TestCases!$D$2:$D$43,A26,TestCases!$C$2:$C$43,"ATTACK")</f>
        <v>1</v>
      </c>
      <c r="C26" s="10" t="n">
        <f aca="false">COUNTIFS(TestCases!$D$2:$D$43,A26,TestCases!$C$2:$C$43,"ATTACK",TestCases!$AA$2:$AA$43,"ATTACK")</f>
        <v>1</v>
      </c>
      <c r="D26" s="12" t="n">
        <f aca="false">IFERROR(C26/B26,0)</f>
        <v>1</v>
      </c>
    </row>
    <row r="27" customFormat="false" ht="15" hidden="false" customHeight="false" outlineLevel="0" collapsed="false">
      <c r="A27" s="10" t="s">
        <v>144</v>
      </c>
      <c r="B27" s="10" t="n">
        <f aca="false">COUNTIFS(TestCases!$D$2:$D$43,A27,TestCases!$C$2:$C$43,"ATTACK")</f>
        <v>1</v>
      </c>
      <c r="C27" s="10" t="n">
        <f aca="false">COUNTIFS(TestCases!$D$2:$D$43,A27,TestCases!$C$2:$C$43,"ATTACK",TestCases!$AA$2:$AA$43,"ATTACK")</f>
        <v>1</v>
      </c>
      <c r="D27" s="12" t="n">
        <f aca="false">IFERROR(C27/B27,0)</f>
        <v>1</v>
      </c>
    </row>
    <row r="28" customFormat="false" ht="15" hidden="false" customHeight="false" outlineLevel="0" collapsed="false">
      <c r="A28" s="10" t="s">
        <v>132</v>
      </c>
      <c r="B28" s="10" t="n">
        <f aca="false">COUNTIFS(TestCases!$D$2:$D$43,A28,TestCases!$C$2:$C$43,"ATTACK")</f>
        <v>1</v>
      </c>
      <c r="C28" s="10" t="n">
        <f aca="false">COUNTIFS(TestCases!$D$2:$D$43,A28,TestCases!$C$2:$C$43,"ATTACK",TestCases!$AA$2:$AA$43,"ATTACK")</f>
        <v>1</v>
      </c>
      <c r="D28" s="12" t="n">
        <f aca="false">IFERROR(C28/B28,0)</f>
        <v>1</v>
      </c>
    </row>
    <row r="29" customFormat="false" ht="15" hidden="false" customHeight="false" outlineLevel="0" collapsed="false">
      <c r="A29" s="10" t="s">
        <v>103</v>
      </c>
      <c r="B29" s="10" t="n">
        <f aca="false">COUNTIFS(TestCases!$D$2:$D$43,A29,TestCases!$C$2:$C$43,"ATTACK")</f>
        <v>1</v>
      </c>
      <c r="C29" s="10" t="n">
        <f aca="false">COUNTIFS(TestCases!$D$2:$D$43,A29,TestCases!$C$2:$C$43,"ATTACK",TestCases!$AA$2:$AA$43,"ATTACK")</f>
        <v>1</v>
      </c>
      <c r="D29" s="12" t="n">
        <f aca="false">IFERROR(C29/B29,0)</f>
        <v>1</v>
      </c>
    </row>
    <row r="30" customFormat="false" ht="15" hidden="false" customHeight="false" outlineLevel="0" collapsed="false">
      <c r="A30" s="10" t="s">
        <v>94</v>
      </c>
      <c r="B30" s="10" t="n">
        <f aca="false">COUNTIFS(TestCases!$D$2:$D$43,A30,TestCases!$C$2:$C$43,"ATTACK")</f>
        <v>1</v>
      </c>
      <c r="C30" s="10" t="n">
        <f aca="false">COUNTIFS(TestCases!$D$2:$D$43,A30,TestCases!$C$2:$C$43,"ATTACK",TestCases!$AA$2:$AA$43,"ATTACK")</f>
        <v>1</v>
      </c>
      <c r="D30" s="12" t="n">
        <f aca="false">IFERROR(C30/B30,0)</f>
        <v>1</v>
      </c>
    </row>
    <row r="31" customFormat="false" ht="15" hidden="false" customHeight="false" outlineLevel="0" collapsed="false">
      <c r="A31" s="10" t="s">
        <v>126</v>
      </c>
      <c r="B31" s="10" t="n">
        <f aca="false">COUNTIFS(TestCases!$D$2:$D$43,A31,TestCases!$C$2:$C$43,"ATTACK")</f>
        <v>1</v>
      </c>
      <c r="C31" s="10" t="n">
        <f aca="false">COUNTIFS(TestCases!$D$2:$D$43,A31,TestCases!$C$2:$C$43,"ATTACK",TestCases!$AA$2:$AA$43,"ATTACK")</f>
        <v>1</v>
      </c>
      <c r="D31" s="12" t="n">
        <f aca="false">IFERROR(C31/B31,0)</f>
        <v>1</v>
      </c>
    </row>
    <row r="32" customFormat="false" ht="15" hidden="false" customHeight="false" outlineLevel="0" collapsed="false">
      <c r="A32" s="10" t="s">
        <v>196</v>
      </c>
      <c r="B32" s="10" t="n">
        <f aca="false">COUNTIFS(TestCases!$D$2:$D$43,A32,TestCases!$C$2:$C$43,"ATTACK")</f>
        <v>1</v>
      </c>
      <c r="C32" s="10" t="n">
        <f aca="false">COUNTIFS(TestCases!$D$2:$D$43,A32,TestCases!$C$2:$C$43,"ATTACK",TestCases!$AA$2:$AA$43,"ATTACK")</f>
        <v>0</v>
      </c>
      <c r="D32" s="12" t="n">
        <f aca="false">IFERROR(C32/B32,0)</f>
        <v>0</v>
      </c>
    </row>
    <row r="33" customFormat="false" ht="15" hidden="false" customHeight="false" outlineLevel="0" collapsed="false">
      <c r="A33" s="10" t="s">
        <v>109</v>
      </c>
      <c r="B33" s="10" t="n">
        <f aca="false">COUNTIFS(TestCases!$D$2:$D$43,A33,TestCases!$C$2:$C$43,"ATTACK")</f>
        <v>2</v>
      </c>
      <c r="C33" s="10" t="n">
        <f aca="false">COUNTIFS(TestCases!$D$2:$D$43,A33,TestCases!$C$2:$C$43,"ATTACK",TestCases!$AA$2:$AA$43,"ATTACK")</f>
        <v>2</v>
      </c>
      <c r="D33" s="12" t="n">
        <f aca="false">IFERROR(C33/B33,0)</f>
        <v>1</v>
      </c>
    </row>
    <row r="34" customFormat="false" ht="15" hidden="false" customHeight="false" outlineLevel="0" collapsed="false">
      <c r="A34" s="10" t="s">
        <v>138</v>
      </c>
      <c r="B34" s="10" t="n">
        <f aca="false">COUNTIFS(TestCases!$D$2:$D$43,A34,TestCases!$C$2:$C$43,"ATTACK")</f>
        <v>1</v>
      </c>
      <c r="C34" s="10" t="n">
        <f aca="false">COUNTIFS(TestCases!$D$2:$D$43,A34,TestCases!$C$2:$C$43,"ATTACK",TestCases!$AA$2:$AA$43,"ATTACK")</f>
        <v>1</v>
      </c>
      <c r="D34" s="12" t="n">
        <f aca="false">IFERROR(C34/B34,0)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239</v>
      </c>
    </row>
    <row r="3" customFormat="false" ht="15" hidden="false" customHeight="false" outlineLevel="0" collapsed="false">
      <c r="A3" s="7" t="s">
        <v>240</v>
      </c>
      <c r="B3" s="7" t="s">
        <v>241</v>
      </c>
      <c r="C3" s="7" t="s">
        <v>242</v>
      </c>
      <c r="D3" s="7" t="s">
        <v>243</v>
      </c>
    </row>
    <row r="4" customFormat="false" ht="36" hidden="false" customHeight="true" outlineLevel="0" collapsed="false">
      <c r="A4" s="7" t="s">
        <v>244</v>
      </c>
      <c r="B4" s="14" t="n">
        <f aca="false">Results!B8</f>
        <v>20</v>
      </c>
      <c r="C4" s="14" t="n">
        <f aca="false">Results!B11</f>
        <v>2</v>
      </c>
      <c r="D4" s="15" t="n">
        <f aca="false">B4+C4</f>
        <v>22</v>
      </c>
    </row>
    <row r="5" customFormat="false" ht="36" hidden="false" customHeight="true" outlineLevel="0" collapsed="false">
      <c r="A5" s="7" t="s">
        <v>245</v>
      </c>
      <c r="B5" s="14" t="n">
        <f aca="false">Results!B10</f>
        <v>1</v>
      </c>
      <c r="C5" s="14" t="n">
        <f aca="false">Results!B9</f>
        <v>19</v>
      </c>
      <c r="D5" s="15" t="n">
        <f aca="false">B5+C5</f>
        <v>20</v>
      </c>
    </row>
    <row r="6" customFormat="false" ht="15" hidden="false" customHeight="false" outlineLevel="0" collapsed="false">
      <c r="A6" s="7" t="s">
        <v>243</v>
      </c>
      <c r="B6" s="15" t="n">
        <f aca="false">B4+B5</f>
        <v>21</v>
      </c>
      <c r="C6" s="15" t="n">
        <f aca="false">C4+C5</f>
        <v>21</v>
      </c>
      <c r="D6" s="15" t="n">
        <f aca="false">D4+D5</f>
        <v>42</v>
      </c>
    </row>
    <row r="8" customFormat="false" ht="15" hidden="false" customHeight="false" outlineLevel="0" collapsed="false">
      <c r="A8" s="11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3" t="s">
        <v>247</v>
      </c>
    </row>
    <row r="2" customFormat="false" ht="15" hidden="false" customHeight="false" outlineLevel="0" collapsed="false">
      <c r="A2" s="16"/>
    </row>
    <row r="3" customFormat="false" ht="15" hidden="false" customHeight="false" outlineLevel="0" collapsed="false">
      <c r="A3" s="16" t="s">
        <v>248</v>
      </c>
    </row>
    <row r="4" customFormat="false" ht="15" hidden="false" customHeight="false" outlineLevel="0" collapsed="false">
      <c r="A4" s="16" t="s">
        <v>249</v>
      </c>
    </row>
    <row r="5" customFormat="false" ht="15" hidden="false" customHeight="false" outlineLevel="0" collapsed="false">
      <c r="A5" s="16" t="s">
        <v>250</v>
      </c>
    </row>
    <row r="6" customFormat="false" ht="15" hidden="false" customHeight="false" outlineLevel="0" collapsed="false">
      <c r="A6" s="16" t="s">
        <v>251</v>
      </c>
    </row>
    <row r="7" customFormat="false" ht="15" hidden="false" customHeight="false" outlineLevel="0" collapsed="false">
      <c r="A7" s="16"/>
    </row>
    <row r="8" customFormat="false" ht="15" hidden="false" customHeight="false" outlineLevel="0" collapsed="false">
      <c r="A8" s="13" t="s">
        <v>252</v>
      </c>
    </row>
    <row r="9" customFormat="false" ht="15" hidden="false" customHeight="false" outlineLevel="0" collapsed="false">
      <c r="A9" s="16" t="s">
        <v>253</v>
      </c>
    </row>
    <row r="10" customFormat="false" ht="15" hidden="false" customHeight="false" outlineLevel="0" collapsed="false">
      <c r="A10" s="16" t="s">
        <v>254</v>
      </c>
    </row>
    <row r="11" customFormat="false" ht="15" hidden="false" customHeight="false" outlineLevel="0" collapsed="false">
      <c r="A11" s="16" t="s">
        <v>255</v>
      </c>
    </row>
    <row r="12" customFormat="false" ht="15" hidden="false" customHeight="false" outlineLevel="0" collapsed="false">
      <c r="A12" s="16" t="s">
        <v>256</v>
      </c>
    </row>
    <row r="13" customFormat="false" ht="15" hidden="false" customHeight="false" outlineLevel="0" collapsed="false">
      <c r="A13" s="16" t="s">
        <v>257</v>
      </c>
    </row>
    <row r="14" customFormat="false" ht="15" hidden="false" customHeight="false" outlineLevel="0" collapsed="false">
      <c r="A14" s="16" t="s">
        <v>258</v>
      </c>
    </row>
    <row r="15" customFormat="false" ht="15" hidden="false" customHeight="false" outlineLevel="0" collapsed="false">
      <c r="A15" s="16"/>
    </row>
    <row r="16" customFormat="false" ht="15" hidden="false" customHeight="false" outlineLevel="0" collapsed="false">
      <c r="A16" s="13" t="s">
        <v>259</v>
      </c>
    </row>
    <row r="17" customFormat="false" ht="15" hidden="false" customHeight="false" outlineLevel="0" collapsed="false">
      <c r="A17" s="16" t="s">
        <v>260</v>
      </c>
    </row>
    <row r="18" customFormat="false" ht="15" hidden="false" customHeight="false" outlineLevel="0" collapsed="false">
      <c r="A18" s="16"/>
    </row>
    <row r="19" customFormat="false" ht="15" hidden="false" customHeight="false" outlineLevel="0" collapsed="false">
      <c r="A19" s="13" t="s">
        <v>261</v>
      </c>
    </row>
    <row r="20" customFormat="false" ht="15" hidden="false" customHeight="false" outlineLevel="0" collapsed="false">
      <c r="A20" s="16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2026-09-23T17:04:37Z</dcterms:created>
  <dc:creator>openpyxl</dc:creator>
  <dc:description/>
  <dc:language>en-US</dc:language>
  <cp:lastModifiedBy/>
  <dcterms:modified xsi:type="dcterms:W3CDTF">2026-09-23T17:04:38Z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